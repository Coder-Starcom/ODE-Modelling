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ada\Downloads\ODE Modelling\Prey Predator System\"/>
    </mc:Choice>
  </mc:AlternateContent>
  <xr:revisionPtr revIDLastSave="0" documentId="13_ncr:1_{DD2B8C3F-03E6-4CD8-8ED7-0B1FCBA3BD6D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LV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2" l="1"/>
  <c r="L10" i="2"/>
  <c r="F5" i="2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C4" i="2"/>
  <c r="B4" i="2"/>
  <c r="D4" i="2" l="1"/>
  <c r="B5" i="2"/>
  <c r="E4" i="2"/>
  <c r="C5" i="2" s="1"/>
  <c r="E5" i="2" l="1"/>
  <c r="C6" i="2" s="1"/>
  <c r="D5" i="2"/>
  <c r="B6" i="2" s="1"/>
  <c r="E6" i="2" l="1"/>
  <c r="C7" i="2"/>
  <c r="D6" i="2"/>
  <c r="B7" i="2"/>
  <c r="D7" i="2" l="1"/>
  <c r="B8" i="2" s="1"/>
  <c r="E7" i="2"/>
  <c r="C8" i="2" s="1"/>
  <c r="D8" i="2" l="1"/>
  <c r="B9" i="2"/>
  <c r="E8" i="2"/>
  <c r="C9" i="2" s="1"/>
  <c r="E9" i="2" l="1"/>
  <c r="C10" i="2" s="1"/>
  <c r="D9" i="2"/>
  <c r="B10" i="2" s="1"/>
  <c r="D10" i="2" l="1"/>
  <c r="B11" i="2" s="1"/>
  <c r="E10" i="2"/>
  <c r="C11" i="2" s="1"/>
  <c r="E11" i="2" l="1"/>
  <c r="C12" i="2" s="1"/>
  <c r="D11" i="2"/>
  <c r="B12" i="2" s="1"/>
  <c r="D12" i="2" l="1"/>
  <c r="B13" i="2" s="1"/>
  <c r="E12" i="2"/>
  <c r="C13" i="2" s="1"/>
  <c r="E13" i="2" l="1"/>
  <c r="C14" i="2" s="1"/>
  <c r="D13" i="2"/>
  <c r="B14" i="2" s="1"/>
  <c r="D14" i="2" l="1"/>
  <c r="B15" i="2" s="1"/>
  <c r="E14" i="2"/>
  <c r="C15" i="2" s="1"/>
  <c r="E15" i="2" l="1"/>
  <c r="C16" i="2" s="1"/>
  <c r="D15" i="2"/>
  <c r="B16" i="2" s="1"/>
  <c r="D16" i="2" l="1"/>
  <c r="B17" i="2" s="1"/>
  <c r="E16" i="2"/>
  <c r="C17" i="2" s="1"/>
  <c r="E17" i="2" l="1"/>
  <c r="C18" i="2"/>
  <c r="D17" i="2"/>
  <c r="B18" i="2"/>
  <c r="D18" i="2" l="1"/>
  <c r="B19" i="2" s="1"/>
  <c r="E18" i="2"/>
  <c r="C19" i="2" s="1"/>
  <c r="E19" i="2" l="1"/>
  <c r="C20" i="2" s="1"/>
  <c r="D19" i="2"/>
  <c r="B20" i="2" s="1"/>
  <c r="D20" i="2" l="1"/>
  <c r="B21" i="2" s="1"/>
  <c r="E20" i="2"/>
  <c r="C21" i="2" s="1"/>
  <c r="D21" i="2" l="1"/>
  <c r="B22" i="2"/>
  <c r="E21" i="2"/>
  <c r="C22" i="2"/>
  <c r="E22" i="2" l="1"/>
  <c r="C23" i="2" s="1"/>
  <c r="D22" i="2"/>
  <c r="B23" i="2" s="1"/>
  <c r="D23" i="2" l="1"/>
  <c r="B24" i="2" s="1"/>
  <c r="E23" i="2"/>
  <c r="C24" i="2" s="1"/>
  <c r="E24" i="2" l="1"/>
  <c r="C25" i="2" s="1"/>
  <c r="D24" i="2"/>
  <c r="B25" i="2" s="1"/>
  <c r="D25" i="2" l="1"/>
  <c r="B26" i="2" s="1"/>
  <c r="E25" i="2"/>
  <c r="C26" i="2" s="1"/>
  <c r="E26" i="2" l="1"/>
  <c r="C27" i="2" s="1"/>
  <c r="D26" i="2"/>
  <c r="B27" i="2" s="1"/>
  <c r="D27" i="2" l="1"/>
  <c r="B28" i="2" s="1"/>
  <c r="E27" i="2"/>
  <c r="C28" i="2" s="1"/>
  <c r="E28" i="2" l="1"/>
  <c r="C29" i="2" s="1"/>
  <c r="D28" i="2"/>
  <c r="B29" i="2"/>
  <c r="E29" i="2" l="1"/>
  <c r="C30" i="2" s="1"/>
  <c r="D29" i="2"/>
  <c r="B30" i="2" s="1"/>
  <c r="E30" i="2" l="1"/>
  <c r="C31" i="2" s="1"/>
  <c r="D30" i="2"/>
  <c r="B31" i="2" s="1"/>
  <c r="D31" i="2" l="1"/>
  <c r="B32" i="2" s="1"/>
  <c r="E31" i="2"/>
  <c r="C32" i="2" s="1"/>
  <c r="D32" i="2" l="1"/>
  <c r="B33" i="2" s="1"/>
  <c r="E32" i="2"/>
  <c r="C33" i="2" s="1"/>
  <c r="E33" i="2" l="1"/>
  <c r="C34" i="2" s="1"/>
  <c r="D33" i="2"/>
  <c r="B34" i="2" s="1"/>
  <c r="D34" i="2" l="1"/>
  <c r="B35" i="2" s="1"/>
  <c r="E34" i="2"/>
  <c r="C35" i="2" s="1"/>
  <c r="E35" i="2" l="1"/>
  <c r="C36" i="2" s="1"/>
  <c r="D35" i="2"/>
  <c r="B36" i="2" s="1"/>
  <c r="D36" i="2" l="1"/>
  <c r="B37" i="2" s="1"/>
  <c r="E36" i="2"/>
  <c r="C37" i="2"/>
  <c r="E37" i="2" l="1"/>
  <c r="C38" i="2" s="1"/>
  <c r="D37" i="2"/>
  <c r="B38" i="2" s="1"/>
  <c r="D38" i="2" l="1"/>
  <c r="B39" i="2" s="1"/>
  <c r="E38" i="2"/>
  <c r="C39" i="2" s="1"/>
  <c r="E39" i="2" l="1"/>
  <c r="C40" i="2"/>
  <c r="D39" i="2"/>
  <c r="B40" i="2" s="1"/>
  <c r="D40" i="2" l="1"/>
  <c r="B41" i="2" s="1"/>
  <c r="E40" i="2"/>
  <c r="C41" i="2" s="1"/>
  <c r="D41" i="2" l="1"/>
  <c r="B42" i="2" s="1"/>
  <c r="E41" i="2"/>
  <c r="C42" i="2" s="1"/>
  <c r="D42" i="2" l="1"/>
  <c r="B43" i="2" s="1"/>
  <c r="E42" i="2"/>
  <c r="C43" i="2" s="1"/>
  <c r="E43" i="2" l="1"/>
  <c r="C44" i="2" s="1"/>
  <c r="D43" i="2"/>
  <c r="B44" i="2" s="1"/>
  <c r="D44" i="2" l="1"/>
  <c r="B45" i="2" s="1"/>
  <c r="E44" i="2"/>
  <c r="C45" i="2" s="1"/>
  <c r="E45" i="2" l="1"/>
  <c r="C46" i="2" s="1"/>
  <c r="D45" i="2"/>
  <c r="B46" i="2" s="1"/>
  <c r="D46" i="2" l="1"/>
  <c r="B47" i="2" s="1"/>
  <c r="E46" i="2"/>
  <c r="C47" i="2"/>
  <c r="D47" i="2" l="1"/>
  <c r="B48" i="2" s="1"/>
  <c r="E47" i="2"/>
  <c r="C48" i="2" s="1"/>
  <c r="E48" i="2" l="1"/>
  <c r="C49" i="2" s="1"/>
  <c r="D48" i="2"/>
  <c r="B49" i="2" s="1"/>
  <c r="E49" i="2" l="1"/>
  <c r="C50" i="2" s="1"/>
  <c r="D49" i="2"/>
  <c r="B50" i="2" s="1"/>
  <c r="D50" i="2" l="1"/>
  <c r="B51" i="2" s="1"/>
  <c r="E50" i="2"/>
  <c r="C51" i="2" s="1"/>
  <c r="E51" i="2" l="1"/>
  <c r="C52" i="2" s="1"/>
  <c r="D51" i="2"/>
  <c r="B52" i="2" s="1"/>
  <c r="E52" i="2" l="1"/>
  <c r="C53" i="2"/>
  <c r="D52" i="2"/>
  <c r="B53" i="2" s="1"/>
  <c r="D53" i="2" l="1"/>
  <c r="B54" i="2" s="1"/>
  <c r="E53" i="2"/>
  <c r="C54" i="2" s="1"/>
  <c r="E54" i="2" l="1"/>
  <c r="C55" i="2" s="1"/>
  <c r="D54" i="2"/>
  <c r="B55" i="2" s="1"/>
  <c r="D55" i="2" l="1"/>
  <c r="B56" i="2" s="1"/>
  <c r="E55" i="2"/>
  <c r="C56" i="2" s="1"/>
  <c r="D56" i="2" l="1"/>
  <c r="B57" i="2" s="1"/>
  <c r="E56" i="2"/>
  <c r="C57" i="2" s="1"/>
  <c r="E57" i="2" l="1"/>
  <c r="C58" i="2" s="1"/>
  <c r="D57" i="2"/>
  <c r="B58" i="2" s="1"/>
  <c r="D58" i="2" l="1"/>
  <c r="B59" i="2" s="1"/>
  <c r="E58" i="2"/>
  <c r="C59" i="2" s="1"/>
  <c r="E59" i="2" l="1"/>
  <c r="C60" i="2" s="1"/>
  <c r="D59" i="2"/>
  <c r="B60" i="2" s="1"/>
  <c r="E60" i="2" l="1"/>
  <c r="C61" i="2" s="1"/>
  <c r="D60" i="2"/>
  <c r="B61" i="2" s="1"/>
  <c r="D61" i="2" l="1"/>
  <c r="B62" i="2" s="1"/>
  <c r="E61" i="2"/>
  <c r="C62" i="2" s="1"/>
  <c r="D62" i="2" l="1"/>
  <c r="B63" i="2" s="1"/>
  <c r="E62" i="2"/>
  <c r="C63" i="2" s="1"/>
  <c r="D63" i="2" l="1"/>
  <c r="B64" i="2" s="1"/>
  <c r="E63" i="2"/>
  <c r="C64" i="2" s="1"/>
  <c r="E64" i="2" l="1"/>
  <c r="C65" i="2" s="1"/>
  <c r="D64" i="2"/>
  <c r="B65" i="2" s="1"/>
  <c r="E65" i="2" l="1"/>
  <c r="C66" i="2" s="1"/>
  <c r="D65" i="2"/>
  <c r="B66" i="2" s="1"/>
  <c r="D66" i="2" l="1"/>
  <c r="B67" i="2" s="1"/>
  <c r="E66" i="2"/>
  <c r="C67" i="2" s="1"/>
  <c r="E67" i="2" l="1"/>
  <c r="C68" i="2" s="1"/>
  <c r="D67" i="2"/>
  <c r="B68" i="2" s="1"/>
  <c r="D68" i="2" l="1"/>
  <c r="B69" i="2" s="1"/>
  <c r="E68" i="2"/>
  <c r="C69" i="2" s="1"/>
  <c r="E69" i="2" l="1"/>
  <c r="C70" i="2" s="1"/>
  <c r="D69" i="2"/>
  <c r="B70" i="2" s="1"/>
  <c r="D70" i="2" l="1"/>
  <c r="B71" i="2" s="1"/>
  <c r="E70" i="2"/>
  <c r="C71" i="2" s="1"/>
  <c r="E71" i="2" l="1"/>
  <c r="C72" i="2" s="1"/>
  <c r="D71" i="2"/>
  <c r="B72" i="2" s="1"/>
  <c r="D72" i="2" l="1"/>
  <c r="B73" i="2" s="1"/>
  <c r="E72" i="2"/>
  <c r="C73" i="2" s="1"/>
  <c r="E73" i="2" l="1"/>
  <c r="C74" i="2" s="1"/>
  <c r="D73" i="2"/>
  <c r="B74" i="2" s="1"/>
  <c r="D74" i="2" l="1"/>
  <c r="B75" i="2" s="1"/>
  <c r="E74" i="2"/>
  <c r="C75" i="2" s="1"/>
  <c r="E75" i="2" l="1"/>
  <c r="C76" i="2" s="1"/>
  <c r="D75" i="2"/>
  <c r="B76" i="2" s="1"/>
  <c r="D76" i="2" l="1"/>
  <c r="B77" i="2" s="1"/>
  <c r="E76" i="2"/>
  <c r="C77" i="2" s="1"/>
  <c r="D77" i="2" l="1"/>
  <c r="B78" i="2" s="1"/>
  <c r="E77" i="2"/>
  <c r="C78" i="2" s="1"/>
  <c r="D78" i="2" l="1"/>
  <c r="B79" i="2" s="1"/>
  <c r="E78" i="2"/>
  <c r="C79" i="2"/>
  <c r="D79" i="2" l="1"/>
  <c r="B80" i="2" s="1"/>
  <c r="E79" i="2"/>
  <c r="C80" i="2" s="1"/>
  <c r="E80" i="2" l="1"/>
  <c r="C81" i="2" s="1"/>
  <c r="D80" i="2"/>
  <c r="B81" i="2" s="1"/>
  <c r="D81" i="2" l="1"/>
  <c r="B82" i="2" s="1"/>
  <c r="E81" i="2"/>
  <c r="C82" i="2" s="1"/>
  <c r="E82" i="2" l="1"/>
  <c r="C83" i="2" s="1"/>
  <c r="D82" i="2"/>
  <c r="B83" i="2"/>
  <c r="D83" i="2" l="1"/>
  <c r="B84" i="2" s="1"/>
  <c r="E83" i="2"/>
  <c r="C84" i="2" s="1"/>
  <c r="E84" i="2" l="1"/>
  <c r="C85" i="2" s="1"/>
  <c r="D84" i="2"/>
  <c r="B85" i="2"/>
  <c r="E85" i="2" l="1"/>
  <c r="C86" i="2" s="1"/>
  <c r="D85" i="2"/>
  <c r="B86" i="2" s="1"/>
  <c r="D86" i="2" l="1"/>
  <c r="B87" i="2" s="1"/>
  <c r="E86" i="2"/>
  <c r="C87" i="2" s="1"/>
  <c r="E87" i="2" l="1"/>
  <c r="C88" i="2" s="1"/>
  <c r="D87" i="2"/>
  <c r="B88" i="2" s="1"/>
  <c r="E88" i="2" l="1"/>
  <c r="C89" i="2" s="1"/>
  <c r="D88" i="2"/>
  <c r="B89" i="2" s="1"/>
  <c r="E89" i="2" l="1"/>
  <c r="C90" i="2" s="1"/>
  <c r="D89" i="2"/>
  <c r="B90" i="2" s="1"/>
  <c r="D90" i="2" l="1"/>
  <c r="B91" i="2" s="1"/>
  <c r="E90" i="2"/>
  <c r="C91" i="2" s="1"/>
  <c r="E91" i="2" l="1"/>
  <c r="C92" i="2" s="1"/>
  <c r="D91" i="2"/>
  <c r="B92" i="2" s="1"/>
  <c r="D92" i="2" l="1"/>
  <c r="B93" i="2" s="1"/>
  <c r="E92" i="2"/>
  <c r="C93" i="2" s="1"/>
  <c r="E93" i="2" l="1"/>
  <c r="C94" i="2" s="1"/>
  <c r="D93" i="2"/>
  <c r="B94" i="2"/>
  <c r="D94" i="2" l="1"/>
  <c r="B95" i="2" s="1"/>
  <c r="E94" i="2"/>
  <c r="C95" i="2" s="1"/>
  <c r="E95" i="2" l="1"/>
  <c r="C96" i="2" s="1"/>
  <c r="D95" i="2"/>
  <c r="B96" i="2" s="1"/>
  <c r="D96" i="2" l="1"/>
  <c r="B97" i="2" s="1"/>
  <c r="E96" i="2"/>
  <c r="C97" i="2" s="1"/>
  <c r="E97" i="2" l="1"/>
  <c r="C98" i="2" s="1"/>
  <c r="D97" i="2"/>
  <c r="B98" i="2"/>
  <c r="E98" i="2" l="1"/>
  <c r="C99" i="2" s="1"/>
  <c r="D98" i="2"/>
  <c r="B99" i="2" s="1"/>
  <c r="D99" i="2" l="1"/>
  <c r="B100" i="2" s="1"/>
  <c r="E99" i="2"/>
  <c r="C100" i="2" s="1"/>
  <c r="E100" i="2" l="1"/>
  <c r="C101" i="2" s="1"/>
  <c r="D100" i="2"/>
  <c r="B101" i="2" s="1"/>
  <c r="D101" i="2" l="1"/>
  <c r="B102" i="2" s="1"/>
  <c r="E101" i="2"/>
  <c r="C102" i="2" s="1"/>
  <c r="D102" i="2" l="1"/>
  <c r="B103" i="2" s="1"/>
  <c r="E102" i="2"/>
  <c r="C103" i="2" s="1"/>
  <c r="E103" i="2" l="1"/>
  <c r="C104" i="2" s="1"/>
  <c r="D103" i="2"/>
  <c r="B104" i="2"/>
  <c r="E104" i="2" l="1"/>
  <c r="C105" i="2" s="1"/>
  <c r="D104" i="2"/>
  <c r="B105" i="2"/>
  <c r="E105" i="2" l="1"/>
  <c r="C106" i="2" s="1"/>
  <c r="D105" i="2"/>
  <c r="B106" i="2"/>
  <c r="E106" i="2" l="1"/>
  <c r="C107" i="2" s="1"/>
  <c r="D106" i="2"/>
  <c r="B107" i="2" s="1"/>
  <c r="D107" i="2" l="1"/>
  <c r="B108" i="2" s="1"/>
  <c r="E107" i="2"/>
  <c r="C108" i="2"/>
  <c r="E108" i="2" l="1"/>
  <c r="C109" i="2" s="1"/>
  <c r="D108" i="2"/>
  <c r="B109" i="2"/>
  <c r="E109" i="2" l="1"/>
  <c r="C110" i="2" s="1"/>
  <c r="D109" i="2"/>
  <c r="B110" i="2" s="1"/>
  <c r="D110" i="2" l="1"/>
  <c r="B111" i="2" s="1"/>
  <c r="E110" i="2"/>
  <c r="C111" i="2" s="1"/>
  <c r="D111" i="2" l="1"/>
  <c r="B112" i="2"/>
  <c r="E111" i="2"/>
  <c r="C112" i="2" s="1"/>
  <c r="E112" i="2" l="1"/>
  <c r="C113" i="2" s="1"/>
  <c r="D112" i="2"/>
  <c r="B113" i="2" s="1"/>
  <c r="D113" i="2" l="1"/>
  <c r="B114" i="2" s="1"/>
  <c r="E113" i="2"/>
  <c r="C114" i="2" s="1"/>
  <c r="E114" i="2" l="1"/>
  <c r="C115" i="2"/>
  <c r="D114" i="2"/>
  <c r="B115" i="2" s="1"/>
  <c r="D115" i="2" l="1"/>
  <c r="B116" i="2" s="1"/>
  <c r="E115" i="2"/>
  <c r="C116" i="2" s="1"/>
  <c r="E116" i="2" l="1"/>
  <c r="C117" i="2" s="1"/>
  <c r="D116" i="2"/>
  <c r="B117" i="2" s="1"/>
  <c r="E117" i="2" l="1"/>
  <c r="C118" i="2" s="1"/>
  <c r="D117" i="2"/>
  <c r="B118" i="2"/>
  <c r="E118" i="2" l="1"/>
  <c r="C119" i="2" s="1"/>
  <c r="D118" i="2"/>
  <c r="B119" i="2" s="1"/>
  <c r="E119" i="2" l="1"/>
  <c r="C120" i="2" s="1"/>
  <c r="D119" i="2"/>
  <c r="B120" i="2" s="1"/>
  <c r="E120" i="2" l="1"/>
  <c r="C121" i="2" s="1"/>
  <c r="D120" i="2"/>
  <c r="B121" i="2" s="1"/>
  <c r="D121" i="2" l="1"/>
  <c r="B122" i="2" s="1"/>
  <c r="E121" i="2"/>
  <c r="C122" i="2" s="1"/>
  <c r="D122" i="2" l="1"/>
  <c r="B123" i="2" s="1"/>
  <c r="E122" i="2"/>
  <c r="C123" i="2" s="1"/>
  <c r="D123" i="2" l="1"/>
  <c r="B124" i="2" s="1"/>
  <c r="E123" i="2"/>
  <c r="C124" i="2" s="1"/>
  <c r="D124" i="2" l="1"/>
  <c r="B125" i="2" s="1"/>
  <c r="E124" i="2"/>
  <c r="C125" i="2" s="1"/>
  <c r="E125" i="2" l="1"/>
  <c r="C126" i="2" s="1"/>
  <c r="D125" i="2"/>
  <c r="B126" i="2" s="1"/>
  <c r="D126" i="2" l="1"/>
  <c r="B127" i="2" s="1"/>
  <c r="E126" i="2"/>
  <c r="C127" i="2" s="1"/>
  <c r="E127" i="2" l="1"/>
  <c r="C128" i="2" s="1"/>
  <c r="D127" i="2"/>
  <c r="B128" i="2" s="1"/>
  <c r="E128" i="2" l="1"/>
  <c r="C129" i="2" s="1"/>
  <c r="D128" i="2"/>
  <c r="B129" i="2" s="1"/>
  <c r="D129" i="2" l="1"/>
  <c r="B130" i="2" s="1"/>
  <c r="E129" i="2"/>
  <c r="C130" i="2" s="1"/>
  <c r="E130" i="2" l="1"/>
  <c r="C131" i="2" s="1"/>
  <c r="D130" i="2"/>
  <c r="B131" i="2" s="1"/>
  <c r="D131" i="2" l="1"/>
  <c r="B132" i="2" s="1"/>
  <c r="E131" i="2"/>
  <c r="C132" i="2" s="1"/>
  <c r="D132" i="2" l="1"/>
  <c r="B133" i="2" s="1"/>
  <c r="E132" i="2"/>
  <c r="C133" i="2"/>
  <c r="D133" i="2" l="1"/>
  <c r="B134" i="2" s="1"/>
  <c r="E133" i="2"/>
  <c r="C134" i="2" s="1"/>
  <c r="E134" i="2" l="1"/>
  <c r="C135" i="2" s="1"/>
  <c r="D134" i="2"/>
  <c r="B135" i="2" s="1"/>
  <c r="D135" i="2" l="1"/>
  <c r="B136" i="2" s="1"/>
  <c r="E135" i="2"/>
  <c r="C136" i="2" s="1"/>
  <c r="E136" i="2" l="1"/>
  <c r="C137" i="2"/>
  <c r="D136" i="2"/>
  <c r="B137" i="2" s="1"/>
  <c r="D137" i="2" l="1"/>
  <c r="B138" i="2" s="1"/>
  <c r="E137" i="2"/>
  <c r="C138" i="2" s="1"/>
  <c r="E138" i="2" l="1"/>
  <c r="C139" i="2" s="1"/>
  <c r="D138" i="2"/>
  <c r="B139" i="2" s="1"/>
  <c r="D139" i="2" l="1"/>
  <c r="B140" i="2" s="1"/>
  <c r="E139" i="2"/>
  <c r="C140" i="2" s="1"/>
  <c r="E140" i="2" l="1"/>
  <c r="C141" i="2" s="1"/>
  <c r="D140" i="2"/>
  <c r="B141" i="2"/>
  <c r="D141" i="2" l="1"/>
  <c r="B142" i="2" s="1"/>
  <c r="E141" i="2"/>
  <c r="C142" i="2" s="1"/>
  <c r="E142" i="2" l="1"/>
  <c r="C143" i="2" s="1"/>
  <c r="D142" i="2"/>
  <c r="B143" i="2" s="1"/>
  <c r="D143" i="2" l="1"/>
  <c r="B144" i="2" s="1"/>
  <c r="E143" i="2"/>
  <c r="C144" i="2" s="1"/>
  <c r="D144" i="2" l="1"/>
  <c r="B145" i="2" s="1"/>
  <c r="E144" i="2"/>
  <c r="C145" i="2" s="1"/>
  <c r="E145" i="2" l="1"/>
  <c r="C146" i="2" s="1"/>
  <c r="D145" i="2"/>
  <c r="B146" i="2" s="1"/>
  <c r="D146" i="2" l="1"/>
  <c r="B147" i="2" s="1"/>
  <c r="E146" i="2"/>
  <c r="C147" i="2" s="1"/>
  <c r="E147" i="2" l="1"/>
  <c r="C148" i="2" s="1"/>
  <c r="D147" i="2"/>
  <c r="B148" i="2" s="1"/>
  <c r="D148" i="2" l="1"/>
  <c r="B149" i="2" s="1"/>
  <c r="E148" i="2"/>
  <c r="C149" i="2" s="1"/>
  <c r="E149" i="2" l="1"/>
  <c r="C150" i="2" s="1"/>
  <c r="D149" i="2"/>
  <c r="B150" i="2" s="1"/>
  <c r="D150" i="2" l="1"/>
  <c r="B151" i="2" s="1"/>
  <c r="E150" i="2"/>
  <c r="C151" i="2" s="1"/>
  <c r="D151" i="2" l="1"/>
  <c r="B152" i="2" s="1"/>
  <c r="E151" i="2"/>
  <c r="C152" i="2" s="1"/>
  <c r="E152" i="2" l="1"/>
  <c r="C153" i="2" s="1"/>
  <c r="D152" i="2"/>
  <c r="B153" i="2" s="1"/>
  <c r="D153" i="2" l="1"/>
  <c r="B154" i="2" s="1"/>
  <c r="E153" i="2"/>
  <c r="C154" i="2" s="1"/>
  <c r="E154" i="2" l="1"/>
  <c r="C155" i="2" s="1"/>
  <c r="D154" i="2"/>
  <c r="B155" i="2" s="1"/>
  <c r="D155" i="2" l="1"/>
  <c r="B156" i="2" s="1"/>
  <c r="E155" i="2"/>
  <c r="C156" i="2" s="1"/>
  <c r="E156" i="2" l="1"/>
  <c r="C157" i="2" s="1"/>
  <c r="D156" i="2"/>
  <c r="B157" i="2" s="1"/>
  <c r="D157" i="2" l="1"/>
  <c r="B158" i="2" s="1"/>
  <c r="E157" i="2"/>
  <c r="C158" i="2"/>
  <c r="E158" i="2" l="1"/>
  <c r="C159" i="2" s="1"/>
  <c r="D158" i="2"/>
  <c r="B159" i="2" s="1"/>
  <c r="D159" i="2" l="1"/>
  <c r="B160" i="2" s="1"/>
  <c r="E159" i="2"/>
  <c r="C160" i="2" s="1"/>
  <c r="D160" i="2" l="1"/>
  <c r="B161" i="2" s="1"/>
  <c r="E160" i="2"/>
  <c r="C161" i="2" s="1"/>
  <c r="E161" i="2" l="1"/>
  <c r="C162" i="2" s="1"/>
  <c r="D161" i="2"/>
  <c r="B162" i="2"/>
  <c r="E162" i="2" l="1"/>
  <c r="C163" i="2" s="1"/>
  <c r="D162" i="2"/>
  <c r="B163" i="2" s="1"/>
  <c r="D163" i="2" l="1"/>
  <c r="B164" i="2" s="1"/>
  <c r="E163" i="2"/>
  <c r="C164" i="2" s="1"/>
  <c r="E164" i="2" l="1"/>
  <c r="C165" i="2" s="1"/>
  <c r="D164" i="2"/>
  <c r="B165" i="2" s="1"/>
  <c r="D165" i="2" l="1"/>
  <c r="B166" i="2" s="1"/>
  <c r="E165" i="2"/>
  <c r="C166" i="2" s="1"/>
  <c r="E166" i="2" l="1"/>
  <c r="C167" i="2" s="1"/>
  <c r="D166" i="2"/>
  <c r="B167" i="2" s="1"/>
  <c r="E167" i="2" l="1"/>
  <c r="C168" i="2" s="1"/>
  <c r="D167" i="2"/>
  <c r="B168" i="2" s="1"/>
  <c r="D168" i="2" l="1"/>
  <c r="B169" i="2" s="1"/>
  <c r="E168" i="2"/>
  <c r="C169" i="2" s="1"/>
  <c r="D169" i="2" l="1"/>
  <c r="B170" i="2" s="1"/>
  <c r="E169" i="2"/>
  <c r="C170" i="2" s="1"/>
  <c r="D170" i="2" l="1"/>
  <c r="B171" i="2" s="1"/>
  <c r="E170" i="2"/>
  <c r="C171" i="2" s="1"/>
  <c r="D171" i="2" l="1"/>
  <c r="B172" i="2"/>
  <c r="E171" i="2"/>
  <c r="C172" i="2"/>
  <c r="E172" i="2" l="1"/>
  <c r="C173" i="2" s="1"/>
  <c r="D172" i="2"/>
  <c r="B173" i="2" s="1"/>
  <c r="E173" i="2" l="1"/>
  <c r="C174" i="2" s="1"/>
  <c r="D173" i="2"/>
  <c r="B174" i="2" s="1"/>
  <c r="E174" i="2" l="1"/>
  <c r="C175" i="2" s="1"/>
  <c r="D174" i="2"/>
  <c r="B175" i="2" s="1"/>
  <c r="E175" i="2" l="1"/>
  <c r="C176" i="2" s="1"/>
  <c r="D175" i="2"/>
  <c r="B176" i="2" s="1"/>
  <c r="D176" i="2" l="1"/>
  <c r="B177" i="2" s="1"/>
  <c r="E176" i="2"/>
  <c r="C177" i="2"/>
  <c r="E177" i="2" l="1"/>
  <c r="C178" i="2" s="1"/>
  <c r="D177" i="2"/>
  <c r="B178" i="2" s="1"/>
  <c r="E178" i="2" l="1"/>
  <c r="C179" i="2" s="1"/>
  <c r="D178" i="2"/>
  <c r="B179" i="2" s="1"/>
  <c r="D179" i="2" l="1"/>
  <c r="B180" i="2" s="1"/>
  <c r="E179" i="2"/>
  <c r="C180" i="2"/>
  <c r="D180" i="2" l="1"/>
  <c r="B181" i="2" s="1"/>
  <c r="E180" i="2"/>
  <c r="C181" i="2" s="1"/>
  <c r="E181" i="2" l="1"/>
  <c r="C182" i="2" s="1"/>
  <c r="D181" i="2"/>
  <c r="B182" i="2" s="1"/>
  <c r="D182" i="2" l="1"/>
  <c r="B183" i="2" s="1"/>
  <c r="E182" i="2"/>
  <c r="C183" i="2" s="1"/>
  <c r="E183" i="2" l="1"/>
  <c r="C184" i="2"/>
  <c r="D183" i="2"/>
  <c r="B184" i="2"/>
  <c r="D184" i="2" l="1"/>
  <c r="B185" i="2" s="1"/>
  <c r="E184" i="2"/>
  <c r="C185" i="2" s="1"/>
  <c r="E185" i="2" l="1"/>
  <c r="C186" i="2" s="1"/>
  <c r="D185" i="2"/>
  <c r="B186" i="2" s="1"/>
  <c r="E186" i="2" l="1"/>
  <c r="C187" i="2" s="1"/>
  <c r="D186" i="2"/>
  <c r="B187" i="2" s="1"/>
  <c r="E187" i="2" l="1"/>
  <c r="C188" i="2" s="1"/>
  <c r="D187" i="2"/>
  <c r="B188" i="2" s="1"/>
  <c r="D188" i="2" l="1"/>
  <c r="B189" i="2" s="1"/>
  <c r="E188" i="2"/>
  <c r="C189" i="2" s="1"/>
  <c r="D189" i="2" l="1"/>
  <c r="B190" i="2"/>
  <c r="E189" i="2"/>
  <c r="C190" i="2" s="1"/>
  <c r="E190" i="2" l="1"/>
  <c r="C191" i="2" s="1"/>
  <c r="D190" i="2"/>
  <c r="B191" i="2"/>
  <c r="E191" i="2" l="1"/>
  <c r="C192" i="2" s="1"/>
  <c r="D191" i="2"/>
  <c r="B192" i="2" s="1"/>
  <c r="D192" i="2" l="1"/>
  <c r="B193" i="2" s="1"/>
  <c r="E192" i="2"/>
  <c r="C193" i="2" s="1"/>
  <c r="E193" i="2" l="1"/>
  <c r="C194" i="2" s="1"/>
  <c r="D193" i="2"/>
  <c r="B194" i="2" s="1"/>
  <c r="D194" i="2" l="1"/>
  <c r="B195" i="2" s="1"/>
  <c r="E194" i="2"/>
  <c r="C195" i="2" s="1"/>
  <c r="E195" i="2" l="1"/>
  <c r="C196" i="2" s="1"/>
  <c r="D195" i="2"/>
  <c r="B196" i="2" s="1"/>
  <c r="D196" i="2" l="1"/>
  <c r="B197" i="2"/>
  <c r="E196" i="2"/>
  <c r="C197" i="2" s="1"/>
  <c r="E197" i="2" l="1"/>
  <c r="C198" i="2" s="1"/>
  <c r="D197" i="2"/>
  <c r="B198" i="2" s="1"/>
  <c r="D198" i="2" l="1"/>
  <c r="B199" i="2" s="1"/>
  <c r="E198" i="2"/>
  <c r="C199" i="2" s="1"/>
  <c r="E199" i="2" l="1"/>
  <c r="C200" i="2" s="1"/>
  <c r="D199" i="2"/>
  <c r="B200" i="2" s="1"/>
  <c r="D200" i="2" l="1"/>
  <c r="B201" i="2" s="1"/>
  <c r="E200" i="2"/>
  <c r="C201" i="2" s="1"/>
  <c r="E201" i="2" l="1"/>
  <c r="C202" i="2" s="1"/>
  <c r="D201" i="2"/>
  <c r="B202" i="2" s="1"/>
  <c r="D202" i="2" l="1"/>
  <c r="B203" i="2" s="1"/>
  <c r="E202" i="2"/>
  <c r="C203" i="2" s="1"/>
  <c r="D203" i="2" l="1"/>
  <c r="B204" i="2" s="1"/>
  <c r="E203" i="2"/>
  <c r="C204" i="2" s="1"/>
  <c r="E204" i="2" l="1"/>
  <c r="C205" i="2" s="1"/>
  <c r="D204" i="2"/>
  <c r="B205" i="2" s="1"/>
  <c r="D205" i="2" l="1"/>
  <c r="B206" i="2"/>
  <c r="E205" i="2"/>
  <c r="C206" i="2" s="1"/>
  <c r="E206" i="2" l="1"/>
  <c r="C207" i="2" s="1"/>
  <c r="D206" i="2"/>
  <c r="B207" i="2" s="1"/>
  <c r="E207" i="2" l="1"/>
  <c r="C208" i="2" s="1"/>
  <c r="D207" i="2"/>
  <c r="B208" i="2" s="1"/>
  <c r="D208" i="2" l="1"/>
  <c r="B209" i="2" s="1"/>
  <c r="E208" i="2"/>
  <c r="C209" i="2" s="1"/>
  <c r="E209" i="2" l="1"/>
  <c r="C210" i="2" s="1"/>
  <c r="D209" i="2"/>
  <c r="B210" i="2"/>
  <c r="E210" i="2" l="1"/>
  <c r="C211" i="2" s="1"/>
  <c r="D210" i="2"/>
  <c r="B211" i="2" s="1"/>
  <c r="D211" i="2" l="1"/>
  <c r="B212" i="2" s="1"/>
  <c r="E211" i="2"/>
  <c r="C212" i="2" s="1"/>
  <c r="D212" i="2" l="1"/>
  <c r="B213" i="2" s="1"/>
  <c r="E212" i="2"/>
  <c r="C213" i="2" s="1"/>
  <c r="E213" i="2" l="1"/>
  <c r="C214" i="2" s="1"/>
  <c r="D213" i="2"/>
  <c r="B214" i="2" s="1"/>
  <c r="D214" i="2" l="1"/>
  <c r="B215" i="2"/>
  <c r="E214" i="2"/>
  <c r="C215" i="2" s="1"/>
  <c r="E215" i="2" l="1"/>
  <c r="C216" i="2" s="1"/>
  <c r="D215" i="2"/>
  <c r="B216" i="2" s="1"/>
  <c r="E216" i="2" l="1"/>
  <c r="C217" i="2" s="1"/>
  <c r="D216" i="2"/>
  <c r="B217" i="2" s="1"/>
  <c r="E217" i="2" l="1"/>
  <c r="C218" i="2" s="1"/>
  <c r="D217" i="2"/>
  <c r="B218" i="2" s="1"/>
  <c r="D218" i="2" l="1"/>
  <c r="B219" i="2" s="1"/>
  <c r="E218" i="2"/>
  <c r="C219" i="2" s="1"/>
  <c r="D219" i="2" l="1"/>
  <c r="B220" i="2" s="1"/>
  <c r="E219" i="2"/>
  <c r="C220" i="2" s="1"/>
  <c r="D220" i="2" l="1"/>
  <c r="B221" i="2" s="1"/>
  <c r="E220" i="2"/>
  <c r="C221" i="2" s="1"/>
  <c r="E221" i="2" l="1"/>
  <c r="C222" i="2" s="1"/>
  <c r="D221" i="2"/>
  <c r="B222" i="2" s="1"/>
  <c r="D222" i="2" l="1"/>
  <c r="B223" i="2" s="1"/>
  <c r="E222" i="2"/>
  <c r="C223" i="2" s="1"/>
  <c r="E223" i="2" l="1"/>
  <c r="C224" i="2"/>
  <c r="D223" i="2"/>
  <c r="B224" i="2" s="1"/>
  <c r="D224" i="2" l="1"/>
  <c r="B225" i="2" s="1"/>
  <c r="E224" i="2"/>
  <c r="C225" i="2" s="1"/>
  <c r="E225" i="2" l="1"/>
  <c r="C226" i="2" s="1"/>
  <c r="D225" i="2"/>
  <c r="B226" i="2"/>
  <c r="E226" i="2" l="1"/>
  <c r="C227" i="2" s="1"/>
  <c r="D226" i="2"/>
  <c r="B227" i="2" s="1"/>
  <c r="D227" i="2" l="1"/>
  <c r="B228" i="2" s="1"/>
  <c r="E227" i="2"/>
  <c r="C228" i="2" s="1"/>
  <c r="E228" i="2" l="1"/>
  <c r="C229" i="2" s="1"/>
  <c r="D228" i="2"/>
  <c r="B229" i="2" s="1"/>
  <c r="D229" i="2" l="1"/>
  <c r="B230" i="2" s="1"/>
  <c r="E229" i="2"/>
  <c r="C230" i="2" s="1"/>
  <c r="E230" i="2" l="1"/>
  <c r="C231" i="2" s="1"/>
  <c r="D230" i="2"/>
  <c r="B231" i="2" s="1"/>
  <c r="E231" i="2" l="1"/>
  <c r="C232" i="2" s="1"/>
  <c r="D231" i="2"/>
  <c r="B232" i="2" s="1"/>
  <c r="E232" i="2" l="1"/>
  <c r="C233" i="2" s="1"/>
  <c r="D232" i="2"/>
  <c r="B233" i="2" s="1"/>
  <c r="E233" i="2" l="1"/>
  <c r="C234" i="2" s="1"/>
  <c r="D233" i="2"/>
  <c r="B234" i="2" s="1"/>
  <c r="E234" i="2" l="1"/>
  <c r="C235" i="2" s="1"/>
  <c r="D234" i="2"/>
  <c r="B235" i="2" s="1"/>
  <c r="D235" i="2" l="1"/>
  <c r="B236" i="2" s="1"/>
  <c r="E235" i="2"/>
  <c r="C236" i="2" s="1"/>
  <c r="D236" i="2" l="1"/>
  <c r="B237" i="2" s="1"/>
  <c r="E236" i="2"/>
  <c r="C237" i="2" s="1"/>
  <c r="D237" i="2" l="1"/>
  <c r="B238" i="2" s="1"/>
  <c r="E237" i="2"/>
  <c r="C238" i="2" s="1"/>
  <c r="E238" i="2" l="1"/>
  <c r="C239" i="2" s="1"/>
  <c r="D238" i="2"/>
  <c r="B239" i="2" s="1"/>
  <c r="D239" i="2" l="1"/>
  <c r="B240" i="2" s="1"/>
  <c r="E239" i="2"/>
  <c r="C240" i="2" s="1"/>
  <c r="E240" i="2" l="1"/>
  <c r="C241" i="2" s="1"/>
  <c r="D240" i="2"/>
  <c r="B241" i="2" s="1"/>
  <c r="D241" i="2" l="1"/>
  <c r="B242" i="2" s="1"/>
  <c r="E241" i="2"/>
  <c r="C242" i="2" s="1"/>
  <c r="E242" i="2" l="1"/>
  <c r="C243" i="2" s="1"/>
  <c r="D242" i="2"/>
  <c r="B243" i="2" s="1"/>
  <c r="D243" i="2" l="1"/>
  <c r="B244" i="2" s="1"/>
  <c r="E243" i="2"/>
  <c r="C244" i="2"/>
  <c r="D244" i="2" l="1"/>
  <c r="B245" i="2" s="1"/>
  <c r="E244" i="2"/>
  <c r="C245" i="2" s="1"/>
  <c r="E245" i="2" l="1"/>
  <c r="C246" i="2" s="1"/>
  <c r="D245" i="2"/>
  <c r="B246" i="2" s="1"/>
  <c r="E246" i="2" l="1"/>
  <c r="C247" i="2" s="1"/>
  <c r="D246" i="2"/>
  <c r="B247" i="2" s="1"/>
  <c r="E247" i="2" l="1"/>
  <c r="C248" i="2" s="1"/>
  <c r="D247" i="2"/>
  <c r="B248" i="2"/>
  <c r="D248" i="2" l="1"/>
  <c r="B249" i="2" s="1"/>
  <c r="E248" i="2"/>
  <c r="C249" i="2" s="1"/>
  <c r="E249" i="2" l="1"/>
  <c r="C250" i="2" s="1"/>
  <c r="D249" i="2"/>
  <c r="B250" i="2" s="1"/>
  <c r="E250" i="2" l="1"/>
  <c r="C251" i="2" s="1"/>
  <c r="D250" i="2"/>
  <c r="B251" i="2" s="1"/>
  <c r="D251" i="2" l="1"/>
  <c r="B252" i="2"/>
  <c r="E251" i="2"/>
  <c r="C252" i="2"/>
  <c r="E252" i="2" l="1"/>
  <c r="C253" i="2" s="1"/>
  <c r="D252" i="2"/>
  <c r="B253" i="2" s="1"/>
  <c r="E253" i="2" l="1"/>
  <c r="C254" i="2" s="1"/>
  <c r="D253" i="2"/>
  <c r="B254" i="2" s="1"/>
  <c r="D254" i="2" s="1"/>
  <c r="E254" i="2" l="1"/>
</calcChain>
</file>

<file path=xl/sharedStrings.xml><?xml version="1.0" encoding="utf-8"?>
<sst xmlns="http://schemas.openxmlformats.org/spreadsheetml/2006/main" count="22" uniqueCount="20">
  <si>
    <t>t</t>
  </si>
  <si>
    <t>dt</t>
  </si>
  <si>
    <t>Lotka-Volterra Model</t>
  </si>
  <si>
    <t>Parameters</t>
  </si>
  <si>
    <t>Initial Conditions</t>
  </si>
  <si>
    <t>L-V Steady State</t>
  </si>
  <si>
    <r>
      <t>y</t>
    </r>
    <r>
      <rPr>
        <vertAlign val="subscript"/>
        <sz val="11"/>
        <color theme="1"/>
        <rFont val="Bahnschrift"/>
        <family val="2"/>
      </rPr>
      <t>1</t>
    </r>
  </si>
  <si>
    <r>
      <t>y</t>
    </r>
    <r>
      <rPr>
        <vertAlign val="subscript"/>
        <sz val="11"/>
        <color theme="1"/>
        <rFont val="Bahnschrift"/>
        <family val="2"/>
      </rPr>
      <t>2</t>
    </r>
  </si>
  <si>
    <r>
      <t>y</t>
    </r>
    <r>
      <rPr>
        <vertAlign val="subscript"/>
        <sz val="11"/>
        <color theme="1"/>
        <rFont val="Bahnschrift"/>
        <family val="2"/>
      </rPr>
      <t>1</t>
    </r>
    <r>
      <rPr>
        <sz val="11"/>
        <color theme="1"/>
        <rFont val="Bahnschrift"/>
        <family val="2"/>
      </rPr>
      <t>’</t>
    </r>
  </si>
  <si>
    <r>
      <t>y</t>
    </r>
    <r>
      <rPr>
        <vertAlign val="subscript"/>
        <sz val="11"/>
        <color theme="1"/>
        <rFont val="Bahnschrift"/>
        <family val="2"/>
      </rPr>
      <t>2</t>
    </r>
    <r>
      <rPr>
        <sz val="11"/>
        <color theme="1"/>
        <rFont val="Bahnschrift"/>
        <family val="2"/>
      </rPr>
      <t>’</t>
    </r>
  </si>
  <si>
    <r>
      <t>α</t>
    </r>
    <r>
      <rPr>
        <vertAlign val="subscript"/>
        <sz val="11"/>
        <color theme="1"/>
        <rFont val="Bahnschrift"/>
        <family val="2"/>
      </rPr>
      <t>1</t>
    </r>
  </si>
  <si>
    <r>
      <t>β</t>
    </r>
    <r>
      <rPr>
        <vertAlign val="subscript"/>
        <sz val="11"/>
        <color theme="1"/>
        <rFont val="Bahnschrift"/>
        <family val="2"/>
      </rPr>
      <t>1</t>
    </r>
  </si>
  <si>
    <r>
      <t>α</t>
    </r>
    <r>
      <rPr>
        <vertAlign val="subscript"/>
        <sz val="11"/>
        <color theme="1"/>
        <rFont val="Bahnschrift"/>
        <family val="2"/>
      </rPr>
      <t>2</t>
    </r>
  </si>
  <si>
    <r>
      <t>β</t>
    </r>
    <r>
      <rPr>
        <vertAlign val="subscript"/>
        <sz val="11"/>
        <color theme="1"/>
        <rFont val="Bahnschrift"/>
        <family val="2"/>
      </rPr>
      <t>2</t>
    </r>
  </si>
  <si>
    <r>
      <t>y</t>
    </r>
    <r>
      <rPr>
        <vertAlign val="subscript"/>
        <sz val="11"/>
        <color theme="1"/>
        <rFont val="Bahnschrift"/>
        <family val="2"/>
      </rPr>
      <t xml:space="preserve">1 </t>
    </r>
    <r>
      <rPr>
        <sz val="11"/>
        <color theme="1"/>
        <rFont val="Bahnschrift"/>
        <family val="2"/>
      </rPr>
      <t>(0)</t>
    </r>
  </si>
  <si>
    <r>
      <t>y</t>
    </r>
    <r>
      <rPr>
        <vertAlign val="subscript"/>
        <sz val="11"/>
        <color theme="1"/>
        <rFont val="Bahnschrift"/>
        <family val="2"/>
      </rPr>
      <t>2</t>
    </r>
    <r>
      <rPr>
        <sz val="11"/>
        <color theme="1"/>
        <rFont val="Bahnschrift"/>
        <family val="2"/>
      </rPr>
      <t xml:space="preserve"> (0) </t>
    </r>
  </si>
  <si>
    <t>Rate of Interaction leading to Prey Death</t>
  </si>
  <si>
    <t>Growth Rate of Prey</t>
  </si>
  <si>
    <t>Death Rate of Predator</t>
  </si>
  <si>
    <t>Rate of Interaction leading to Predator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</si>
</sst>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1"/>
      <name val="Bahnschrift"/>
      <family val="2"/>
    </font>
    <font>
      <sz val="11"/>
      <color theme="1"/>
      <name val="Bahnschrift"/>
      <family val="2"/>
    </font>
    <font>
      <vertAlign val="subscript"/>
      <sz val="11"/>
      <color theme="1"/>
      <name val="Bahnschrift"/>
      <family val="2"/>
    </font>
    <font>
      <b/>
      <sz val="11"/>
      <color theme="1"/>
      <name val="Bahnschrift"/>
      <family val="2"/>
    </font>
    <font>
      <sz val="8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Lotka-Volterra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prey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LV!$F$4:$F$254</c:f>
              <c:numCache>
                <c:formatCode>General</c:formatCode>
                <c:ptCount val="2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</c:numCache>
            </c:numRef>
          </c:xVal>
          <c:yVal>
            <c:numRef>
              <c:f>LV!$B$4:$B$254</c:f>
              <c:numCache>
                <c:formatCode>General</c:formatCode>
                <c:ptCount val="251"/>
                <c:pt idx="0">
                  <c:v>100</c:v>
                </c:pt>
                <c:pt idx="1">
                  <c:v>100</c:v>
                </c:pt>
                <c:pt idx="2">
                  <c:v>98.5</c:v>
                </c:pt>
                <c:pt idx="3">
                  <c:v>95.323374999999999</c:v>
                </c:pt>
                <c:pt idx="4">
                  <c:v>90.396038253718743</c:v>
                </c:pt>
                <c:pt idx="5">
                  <c:v>83.794816848735792</c:v>
                </c:pt>
                <c:pt idx="6">
                  <c:v>75.779345428682575</c:v>
                </c:pt>
                <c:pt idx="7">
                  <c:v>66.787137707862485</c:v>
                </c:pt>
                <c:pt idx="8">
                  <c:v>57.378821909599395</c:v>
                </c:pt>
                <c:pt idx="9">
                  <c:v>48.14078994260398</c:v>
                </c:pt>
                <c:pt idx="10">
                  <c:v>39.576422206467974</c:v>
                </c:pt>
                <c:pt idx="11">
                  <c:v>32.026654309478488</c:v>
                </c:pt>
                <c:pt idx="12">
                  <c:v>25.645635160421119</c:v>
                </c:pt>
                <c:pt idx="13">
                  <c:v>20.42812773350936</c:v>
                </c:pt>
                <c:pt idx="14">
                  <c:v>16.264098073256513</c:v>
                </c:pt>
                <c:pt idx="15">
                  <c:v>12.994041288010752</c:v>
                </c:pt>
                <c:pt idx="16">
                  <c:v>10.449810976976959</c:v>
                </c:pt>
                <c:pt idx="17">
                  <c:v>8.4779624567767851</c:v>
                </c:pt>
                <c:pt idx="18">
                  <c:v>6.9494209400906621</c:v>
                </c:pt>
                <c:pt idx="19">
                  <c:v>5.7608354804021866</c:v>
                </c:pt>
                <c:pt idx="20">
                  <c:v>4.8319058929258167</c:v>
                </c:pt>
                <c:pt idx="21">
                  <c:v>4.101337765372346</c:v>
                </c:pt>
                <c:pt idx="22">
                  <c:v>3.522785165506745</c:v>
                </c:pt>
                <c:pt idx="23">
                  <c:v>3.061340758398734</c:v>
                </c:pt>
                <c:pt idx="24">
                  <c:v>2.6907148320900536</c:v>
                </c:pt>
                <c:pt idx="25">
                  <c:v>2.3910587176986966</c:v>
                </c:pt>
                <c:pt idx="26">
                  <c:v>2.1473241161905161</c:v>
                </c:pt>
                <c:pt idx="27">
                  <c:v>1.9480422643198141</c:v>
                </c:pt>
                <c:pt idx="28">
                  <c:v>1.7844212668343276</c:v>
                </c:pt>
                <c:pt idx="29">
                  <c:v>1.649680056768805</c:v>
                </c:pt>
                <c:pt idx="30">
                  <c:v>1.5385565646661159</c:v>
                </c:pt>
                <c:pt idx="31">
                  <c:v>1.4469435465007312</c:v>
                </c:pt>
                <c:pt idx="32">
                  <c:v>1.3716178618477459</c:v>
                </c:pt>
                <c:pt idx="33">
                  <c:v>1.3100382576676946</c:v>
                </c:pt>
                <c:pt idx="34">
                  <c:v>1.2601935278339333</c:v>
                </c:pt>
                <c:pt idx="35">
                  <c:v>1.2204878756880631</c:v>
                </c:pt>
                <c:pt idx="36">
                  <c:v>1.1896538924826743</c:v>
                </c:pt>
                <c:pt idx="37">
                  <c:v>1.1666861528575312</c:v>
                </c:pt>
                <c:pt idx="38">
                  <c:v>1.1507902977322793</c:v>
                </c:pt>
                <c:pt idx="39">
                  <c:v>1.1413438278595431</c:v>
                </c:pt>
                <c:pt idx="40">
                  <c:v>1.1378658136992337</c:v>
                </c:pt>
                <c:pt idx="41">
                  <c:v>1.1399934436804986</c:v>
                </c:pt>
                <c:pt idx="42">
                  <c:v>1.1474638578526146</c:v>
                </c:pt>
                <c:pt idx="43">
                  <c:v>1.1601001005850069</c:v>
                </c:pt>
                <c:pt idx="44">
                  <c:v>1.1778003123774381</c:v>
                </c:pt>
                <c:pt idx="45">
                  <c:v>1.2005294942277178</c:v>
                </c:pt>
                <c:pt idx="46">
                  <c:v>1.2283133379668585</c:v>
                </c:pt>
                <c:pt idx="47">
                  <c:v>1.261233736655901</c:v>
                </c:pt>
                <c:pt idx="48">
                  <c:v>1.2994256808044278</c:v>
                </c:pt>
                <c:pt idx="49">
                  <c:v>1.3430753162954123</c:v>
                </c:pt>
                <c:pt idx="50">
                  <c:v>1.3924189939613842</c:v>
                </c:pt>
                <c:pt idx="51">
                  <c:v>1.4477431827852087</c:v>
                </c:pt>
                <c:pt idx="52">
                  <c:v>1.5093851516794821</c:v>
                </c:pt>
                <c:pt idx="53">
                  <c:v>1.57773435095206</c:v>
                </c:pt>
                <c:pt idx="54">
                  <c:v>1.6532344455524006</c:v>
                </c:pt>
                <c:pt idx="55">
                  <c:v>1.7363859692629013</c:v>
                </c:pt>
                <c:pt idx="56">
                  <c:v>1.8277495830947974</c:v>
                </c:pt>
                <c:pt idx="57">
                  <c:v>1.9279499329857188</c:v>
                </c:pt>
                <c:pt idx="58">
                  <c:v>2.0376801120215871</c:v>
                </c:pt>
                <c:pt idx="59">
                  <c:v>2.157706741236268</c:v>
                </c:pt>
                <c:pt idx="60">
                  <c:v>2.2888756908972314</c:v>
                </c:pt>
                <c:pt idx="61">
                  <c:v>2.4321184713073665</c:v>
                </c:pt>
                <c:pt idx="62">
                  <c:v>2.5884593287253304</c:v>
                </c:pt>
                <c:pt idx="63">
                  <c:v>2.7590230881644744</c:v>
                </c:pt>
                <c:pt idx="64">
                  <c:v>2.9450437906683784</c:v>
                </c:pt>
                <c:pt idx="65">
                  <c:v>3.1478741782391713</c:v>
                </c:pt>
                <c:pt idx="66">
                  <c:v>3.3689960849405662</c:v>
                </c:pt>
                <c:pt idx="67">
                  <c:v>3.6100317978066068</c:v>
                </c:pt>
                <c:pt idx="68">
                  <c:v>3.8727564560220467</c:v>
                </c:pt>
                <c:pt idx="69">
                  <c:v>4.1591115613270908</c:v>
                </c:pt>
                <c:pt idx="70">
                  <c:v>4.4712196766216632</c:v>
                </c:pt>
                <c:pt idx="71">
                  <c:v>4.8114003931359406</c:v>
                </c:pt>
                <c:pt idx="72">
                  <c:v>5.1821876490664902</c:v>
                </c:pt>
                <c:pt idx="73">
                  <c:v>5.5863484839464324</c:v>
                </c:pt>
                <c:pt idx="74">
                  <c:v>6.0269033128229417</c:v>
                </c:pt>
                <c:pt idx="75">
                  <c:v>6.5071478020336029</c:v>
                </c:pt>
                <c:pt idx="76">
                  <c:v>7.0306764233267023</c:v>
                </c:pt>
                <c:pt idx="77">
                  <c:v>7.6014077543825618</c:v>
                </c:pt>
                <c:pt idx="78">
                  <c:v>8.2236115803302159</c:v>
                </c:pt>
                <c:pt idx="79">
                  <c:v>8.9019378311519333</c:v>
                </c:pt>
                <c:pt idx="80">
                  <c:v>9.6414473620340146</c:v>
                </c:pt>
                <c:pt idx="81">
                  <c:v>10.447644545304078</c:v>
                </c:pt>
                <c:pt idx="82">
                  <c:v>11.326511590411716</c:v>
                </c:pt>
                <c:pt idx="83">
                  <c:v>12.284544438323389</c:v>
                </c:pt>
                <c:pt idx="84">
                  <c:v>13.328789983317968</c:v>
                </c:pt>
                <c:pt idx="85">
                  <c:v>14.466884251427803</c:v>
                </c:pt>
                <c:pt idx="86">
                  <c:v>15.707091001407127</c:v>
                </c:pt>
                <c:pt idx="87">
                  <c:v>17.058339998923621</c:v>
                </c:pt>
                <c:pt idx="88">
                  <c:v>18.530263931530794</c:v>
                </c:pt>
                <c:pt idx="89">
                  <c:v>20.133232559488484</c:v>
                </c:pt>
                <c:pt idx="90">
                  <c:v>21.878382207154885</c:v>
                </c:pt>
                <c:pt idx="91">
                  <c:v>23.77763805337549</c:v>
                </c:pt>
                <c:pt idx="92">
                  <c:v>25.843725825926121</c:v>
                </c:pt>
                <c:pt idx="93">
                  <c:v>28.090168375820525</c:v>
                </c:pt>
                <c:pt idx="94">
                  <c:v>30.531261109268907</c:v>
                </c:pt>
                <c:pt idx="95">
                  <c:v>33.182018262549647</c:v>
                </c:pt>
                <c:pt idx="96">
                  <c:v>36.058079347623782</c:v>
                </c:pt>
                <c:pt idx="97">
                  <c:v>39.175561542921272</c:v>
                </c:pt>
                <c:pt idx="98">
                  <c:v>42.55083904147655</c:v>
                </c:pt>
                <c:pt idx="99">
                  <c:v>46.200223975391239</c:v>
                </c:pt>
                <c:pt idx="100">
                  <c:v>50.139514946164851</c:v>
                </c:pt>
                <c:pt idx="101">
                  <c:v>54.383367657251334</c:v>
                </c:pt>
                <c:pt idx="102">
                  <c:v>58.944426700648719</c:v>
                </c:pt>
                <c:pt idx="103">
                  <c:v>63.832136985325022</c:v>
                </c:pt>
                <c:pt idx="104">
                  <c:v>69.051126198326145</c:v>
                </c:pt>
                <c:pt idx="105">
                  <c:v>74.599014612043661</c:v>
                </c:pt>
                <c:pt idx="106">
                  <c:v>80.463464484902858</c:v>
                </c:pt>
                <c:pt idx="107">
                  <c:v>86.618228776143141</c:v>
                </c:pt>
                <c:pt idx="108">
                  <c:v>93.017902305445844</c:v>
                </c:pt>
                <c:pt idx="109">
                  <c:v>99.59103075749664</c:v>
                </c:pt>
                <c:pt idx="110">
                  <c:v>106.23122431273919</c:v>
                </c:pt>
                <c:pt idx="111">
                  <c:v>112.78601639473167</c:v>
                </c:pt>
                <c:pt idx="112">
                  <c:v>119.0435256281237</c:v>
                </c:pt>
                <c:pt idx="113">
                  <c:v>124.71773565861565</c:v>
                </c:pt>
                <c:pt idx="114">
                  <c:v>129.43474350427314</c:v>
                </c:pt>
                <c:pt idx="115">
                  <c:v>132.72508640444124</c:v>
                </c:pt>
                <c:pt idx="116">
                  <c:v>134.03157336872601</c:v>
                </c:pt>
                <c:pt idx="117">
                  <c:v>132.74746188226013</c:v>
                </c:pt>
                <c:pt idx="118">
                  <c:v>128.30358547177477</c:v>
                </c:pt>
                <c:pt idx="119">
                  <c:v>120.3180209491083</c:v>
                </c:pt>
                <c:pt idx="120">
                  <c:v>108.79643088638063</c:v>
                </c:pt>
                <c:pt idx="121">
                  <c:v>94.317988780458791</c:v>
                </c:pt>
                <c:pt idx="122">
                  <c:v>78.08203942487728</c:v>
                </c:pt>
                <c:pt idx="123">
                  <c:v>61.695039283205304</c:v>
                </c:pt>
                <c:pt idx="124">
                  <c:v>46.717583499795893</c:v>
                </c:pt>
                <c:pt idx="125">
                  <c:v>34.200934400363586</c:v>
                </c:pt>
                <c:pt idx="126">
                  <c:v>24.49120969954982</c:v>
                </c:pt>
                <c:pt idx="127">
                  <c:v>17.36507974527207</c:v>
                </c:pt>
                <c:pt idx="128">
                  <c:v>12.319325850834829</c:v>
                </c:pt>
                <c:pt idx="129">
                  <c:v>8.8131831830909171</c:v>
                </c:pt>
                <c:pt idx="130">
                  <c:v>6.3908712141495521</c:v>
                </c:pt>
                <c:pt idx="131">
                  <c:v>4.7118891087246704</c:v>
                </c:pt>
                <c:pt idx="132">
                  <c:v>3.5376107702257973</c:v>
                </c:pt>
                <c:pt idx="133">
                  <c:v>2.706108903242276</c:v>
                </c:pt>
                <c:pt idx="134">
                  <c:v>2.1089670366392927</c:v>
                </c:pt>
                <c:pt idx="135">
                  <c:v>1.673746522282018</c:v>
                </c:pt>
                <c:pt idx="136">
                  <c:v>1.3518171531453991</c:v>
                </c:pt>
                <c:pt idx="137">
                  <c:v>1.1102445151799685</c:v>
                </c:pt>
                <c:pt idx="138">
                  <c:v>0.9264762261445092</c:v>
                </c:pt>
                <c:pt idx="139">
                  <c:v>0.78487905360256738</c:v>
                </c:pt>
                <c:pt idx="140">
                  <c:v>0.67447726168886035</c:v>
                </c:pt>
                <c:pt idx="141">
                  <c:v>0.58746589642105174</c:v>
                </c:pt>
                <c:pt idx="142">
                  <c:v>0.51822465834280296</c:v>
                </c:pt>
                <c:pt idx="143">
                  <c:v>0.4626569670378417</c:v>
                </c:pt>
                <c:pt idx="144">
                  <c:v>0.41774201613439588</c:v>
                </c:pt>
                <c:pt idx="145">
                  <c:v>0.38122768874580926</c:v>
                </c:pt>
                <c:pt idx="146">
                  <c:v>0.3514176144443043</c:v>
                </c:pt>
                <c:pt idx="147">
                  <c:v>0.32702183331296286</c:v>
                </c:pt>
                <c:pt idx="148">
                  <c:v>0.30705091204563634</c:v>
                </c:pt>
                <c:pt idx="149">
                  <c:v>0.29074007017987663</c:v>
                </c:pt>
                <c:pt idx="150">
                  <c:v>0.27749425726002747</c:v>
                </c:pt>
                <c:pt idx="151">
                  <c:v>0.26684801134651553</c:v>
                </c:pt>
                <c:pt idx="152">
                  <c:v>0.25843585374579037</c:v>
                </c:pt>
                <c:pt idx="153">
                  <c:v>0.25197026950683871</c:v>
                </c:pt>
                <c:pt idx="154">
                  <c:v>0.24722520297099157</c:v>
                </c:pt>
                <c:pt idx="155">
                  <c:v>0.24402360136255843</c:v>
                </c:pt>
                <c:pt idx="156">
                  <c:v>0.24222795768898428</c:v>
                </c:pt>
                <c:pt idx="157">
                  <c:v>0.24173309676344876</c:v>
                </c:pt>
                <c:pt idx="158">
                  <c:v>0.24246065464649436</c:v>
                </c:pt>
                <c:pt idx="159">
                  <c:v>0.24435484884778141</c:v>
                </c:pt>
                <c:pt idx="160">
                  <c:v>0.24737924225942998</c:v>
                </c:pt>
                <c:pt idx="161">
                  <c:v>0.25151428032213524</c:v>
                </c:pt>
                <c:pt idx="162">
                  <c:v>0.2567554368394348</c:v>
                </c:pt>
                <c:pt idx="163">
                  <c:v>0.26311184505080965</c:v>
                </c:pt>
                <c:pt idx="164">
                  <c:v>0.27060532118242053</c:v>
                </c:pt>
                <c:pt idx="165">
                  <c:v>0.27926971063357969</c:v>
                </c:pt>
                <c:pt idx="166">
                  <c:v>0.28915050430509476</c:v>
                </c:pt>
                <c:pt idx="167">
                  <c:v>0.30030468582278447</c:v>
                </c:pt>
                <c:pt idx="168">
                  <c:v>0.31280078063304556</c:v>
                </c:pt>
                <c:pt idx="169">
                  <c:v>0.32671908593191012</c:v>
                </c:pt>
                <c:pt idx="170">
                  <c:v>0.3421520667102661</c:v>
                </c:pt>
                <c:pt idx="171">
                  <c:v>0.35920490828152857</c:v>
                </c:pt>
                <c:pt idx="172">
                  <c:v>0.3779962198213444</c:v>
                </c:pt>
                <c:pt idx="173">
                  <c:v>0.3986588869304199</c:v>
                </c:pt>
                <c:pt idx="174">
                  <c:v>0.42134107421224531</c:v>
                </c:pt>
                <c:pt idx="175">
                  <c:v>0.44620738147607258</c:v>
                </c:pt>
                <c:pt idx="176">
                  <c:v>0.47344015953957486</c:v>
                </c:pt>
                <c:pt idx="177">
                  <c:v>0.50324099379976617</c:v>
                </c:pt>
                <c:pt idx="178">
                  <c:v>0.53583236583256244</c:v>
                </c:pt>
                <c:pt idx="179">
                  <c:v>0.57145950532580059</c:v>
                </c:pt>
                <c:pt idx="180">
                  <c:v>0.61039244669330495</c:v>
                </c:pt>
                <c:pt idx="181">
                  <c:v>0.65292830679760716</c:v>
                </c:pt>
                <c:pt idx="182">
                  <c:v>0.69939380236017279</c:v>
                </c:pt>
                <c:pt idx="183">
                  <c:v>0.75014802789097002</c:v>
                </c:pt>
                <c:pt idx="184">
                  <c:v>0.80558551735205319</c:v>
                </c:pt>
                <c:pt idx="185">
                  <c:v>0.86613961530911654</c:v>
                </c:pt>
                <c:pt idx="186">
                  <c:v>0.93228618604641122</c:v>
                </c:pt>
                <c:pt idx="187">
                  <c:v>1.0045476920493728</c:v>
                </c:pt>
                <c:pt idx="188">
                  <c:v>1.083497676421167</c:v>
                </c:pt>
                <c:pt idx="189">
                  <c:v>1.1697656872198585</c:v>
                </c:pt>
                <c:pt idx="190">
                  <c:v>1.2640426854083242</c:v>
                </c:pt>
                <c:pt idx="191">
                  <c:v>1.3670869821263441</c:v>
                </c:pt>
                <c:pt idx="192">
                  <c:v>1.4797307553512242</c:v>
                </c:pt>
                <c:pt idx="193">
                  <c:v>1.6028872007382942</c:v>
                </c:pt>
                <c:pt idx="194">
                  <c:v>1.7375583765547207</c:v>
                </c:pt>
                <c:pt idx="195">
                  <c:v>1.8848438081687076</c:v>
                </c:pt>
                <c:pt idx="196">
                  <c:v>2.0459499235607264</c:v>
                </c:pt>
                <c:pt idx="197">
                  <c:v>2.2222003978127685</c:v>
                </c:pt>
                <c:pt idx="198">
                  <c:v>2.4150474915332287</c:v>
                </c:pt>
                <c:pt idx="199">
                  <c:v>2.6260844757139665</c:v>
                </c:pt>
                <c:pt idx="200">
                  <c:v>2.8570592436134921</c:v>
                </c:pt>
                <c:pt idx="201">
                  <c:v>3.1098892189314014</c:v>
                </c:pt>
                <c:pt idx="202">
                  <c:v>3.3866776787909747</c:v>
                </c:pt>
                <c:pt idx="203">
                  <c:v>3.6897316198741761</c:v>
                </c:pt>
                <c:pt idx="204">
                  <c:v>4.0215813064346539</c:v>
                </c:pt>
                <c:pt idx="205">
                  <c:v>4.3850016498057185</c:v>
                </c:pt>
                <c:pt idx="206">
                  <c:v>4.7830355803473026</c:v>
                </c:pt>
                <c:pt idx="207">
                  <c:v>5.219019584423342</c:v>
                </c:pt>
                <c:pt idx="208">
                  <c:v>5.6966115907989172</c:v>
                </c:pt>
                <c:pt idx="209">
                  <c:v>6.2198214025519443</c:v>
                </c:pt>
                <c:pt idx="210">
                  <c:v>6.7930438818668986</c:v>
                </c:pt>
                <c:pt idx="211">
                  <c:v>7.4210951054479946</c:v>
                </c:pt>
                <c:pt idx="212">
                  <c:v>8.1092517171132368</c:v>
                </c:pt>
                <c:pt idx="213">
                  <c:v>8.8632937105345615</c:v>
                </c:pt>
                <c:pt idx="214">
                  <c:v>9.6895508778887756</c:v>
                </c:pt>
                <c:pt idx="215">
                  <c:v>10.594953157779688</c:v>
                </c:pt>
                <c:pt idx="216">
                  <c:v>11.587085106023761</c:v>
                </c:pt>
                <c:pt idx="217">
                  <c:v>12.674244692842628</c:v>
                </c:pt>
                <c:pt idx="218">
                  <c:v>13.865506595729304</c:v>
                </c:pt>
                <c:pt idx="219">
                  <c:v>15.170790103399513</c:v>
                </c:pt>
                <c:pt idx="220">
                  <c:v>16.600931665525994</c:v>
                </c:pt>
                <c:pt idx="221">
                  <c:v>18.167762005442491</c:v>
                </c:pt>
                <c:pt idx="222">
                  <c:v>19.884187545063234</c:v>
                </c:pt>
                <c:pt idx="223">
                  <c:v>21.764275654103788</c:v>
                </c:pt>
                <c:pt idx="224">
                  <c:v>23.823342903269932</c:v>
                </c:pt>
                <c:pt idx="225">
                  <c:v>26.078045037101973</c:v>
                </c:pt>
                <c:pt idx="226">
                  <c:v>28.546466735697706</c:v>
                </c:pt>
                <c:pt idx="227">
                  <c:v>31.24820833367685</c:v>
                </c:pt>
                <c:pt idx="228">
                  <c:v>34.204465407245138</c:v>
                </c:pt>
                <c:pt idx="229">
                  <c:v>37.438095379653397</c:v>
                </c:pt>
                <c:pt idx="230">
                  <c:v>40.973662820553443</c:v>
                </c:pt>
                <c:pt idx="231">
                  <c:v>44.837451618947419</c:v>
                </c:pt>
                <c:pt idx="232">
                  <c:v>49.057427243746083</c:v>
                </c:pt>
                <c:pt idx="233">
                  <c:v>53.663125209118185</c:v>
                </c:pt>
                <c:pt idx="234">
                  <c:v>58.685431653385848</c:v>
                </c:pt>
                <c:pt idx="235">
                  <c:v>64.156207158389535</c:v>
                </c:pt>
                <c:pt idx="236">
                  <c:v>70.107683391949081</c:v>
                </c:pt>
                <c:pt idx="237">
                  <c:v>76.571530562929993</c:v>
                </c:pt>
                <c:pt idx="238">
                  <c:v>83.577447104462209</c:v>
                </c:pt>
                <c:pt idx="239">
                  <c:v>91.151054079315415</c:v>
                </c:pt>
                <c:pt idx="240">
                  <c:v>99.310774658404029</c:v>
                </c:pt>
                <c:pt idx="241">
                  <c:v>108.06322798717805</c:v>
                </c:pt>
                <c:pt idx="242">
                  <c:v>117.39644526424594</c:v>
                </c:pt>
                <c:pt idx="243">
                  <c:v>127.26989696219925</c:v>
                </c:pt>
                <c:pt idx="244">
                  <c:v>137.59987745583629</c:v>
                </c:pt>
                <c:pt idx="245">
                  <c:v>148.2382223898847</c:v>
                </c:pt>
                <c:pt idx="246">
                  <c:v>158.94171215808939</c:v>
                </c:pt>
                <c:pt idx="247">
                  <c:v>169.32915030455209</c:v>
                </c:pt>
                <c:pt idx="248">
                  <c:v>178.82387664210498</c:v>
                </c:pt>
                <c:pt idx="249">
                  <c:v>186.58350889715328</c:v>
                </c:pt>
                <c:pt idx="250">
                  <c:v>191.43047369506692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86-4E0C-80E1-21D82DDA9CFA}"/>
            </c:ext>
          </c:extLst>
        </c:ser>
        <c:ser>
          <c:idx val="1"/>
          <c:order val="1"/>
          <c:tx>
            <c:v>predators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LV!$F$4:$F$254</c:f>
              <c:numCache>
                <c:formatCode>General</c:formatCode>
                <c:ptCount val="2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  <c:pt idx="226">
                  <c:v>22.600000000000051</c:v>
                </c:pt>
                <c:pt idx="227">
                  <c:v>22.700000000000053</c:v>
                </c:pt>
                <c:pt idx="228">
                  <c:v>22.800000000000054</c:v>
                </c:pt>
                <c:pt idx="229">
                  <c:v>22.900000000000055</c:v>
                </c:pt>
                <c:pt idx="230">
                  <c:v>23.000000000000057</c:v>
                </c:pt>
                <c:pt idx="231">
                  <c:v>23.100000000000058</c:v>
                </c:pt>
                <c:pt idx="232">
                  <c:v>23.20000000000006</c:v>
                </c:pt>
                <c:pt idx="233">
                  <c:v>23.300000000000061</c:v>
                </c:pt>
                <c:pt idx="234">
                  <c:v>23.400000000000063</c:v>
                </c:pt>
                <c:pt idx="235">
                  <c:v>23.500000000000064</c:v>
                </c:pt>
                <c:pt idx="236">
                  <c:v>23.600000000000065</c:v>
                </c:pt>
                <c:pt idx="237">
                  <c:v>23.700000000000067</c:v>
                </c:pt>
                <c:pt idx="238">
                  <c:v>23.800000000000068</c:v>
                </c:pt>
                <c:pt idx="239">
                  <c:v>23.90000000000007</c:v>
                </c:pt>
                <c:pt idx="240">
                  <c:v>24.000000000000071</c:v>
                </c:pt>
                <c:pt idx="241">
                  <c:v>24.100000000000072</c:v>
                </c:pt>
                <c:pt idx="242">
                  <c:v>24.200000000000074</c:v>
                </c:pt>
                <c:pt idx="243">
                  <c:v>24.300000000000075</c:v>
                </c:pt>
                <c:pt idx="244">
                  <c:v>24.400000000000077</c:v>
                </c:pt>
                <c:pt idx="245">
                  <c:v>24.500000000000078</c:v>
                </c:pt>
                <c:pt idx="246">
                  <c:v>24.60000000000008</c:v>
                </c:pt>
                <c:pt idx="247">
                  <c:v>24.700000000000081</c:v>
                </c:pt>
                <c:pt idx="248">
                  <c:v>24.800000000000082</c:v>
                </c:pt>
                <c:pt idx="249">
                  <c:v>24.900000000000084</c:v>
                </c:pt>
                <c:pt idx="250">
                  <c:v>25.000000000000085</c:v>
                </c:pt>
              </c:numCache>
            </c:numRef>
          </c:xVal>
          <c:yVal>
            <c:numRef>
              <c:f>LV!$C$4:$C$254</c:f>
              <c:numCache>
                <c:formatCode>General</c:formatCode>
                <c:ptCount val="251"/>
                <c:pt idx="0">
                  <c:v>10</c:v>
                </c:pt>
                <c:pt idx="1">
                  <c:v>11.5</c:v>
                </c:pt>
                <c:pt idx="2">
                  <c:v>13.225</c:v>
                </c:pt>
                <c:pt idx="3">
                  <c:v>15.169074999999999</c:v>
                </c:pt>
                <c:pt idx="4">
                  <c:v>17.30255609925625</c:v>
                </c:pt>
                <c:pt idx="5">
                  <c:v>19.565593340364401</c:v>
                </c:pt>
                <c:pt idx="6">
                  <c:v>21.866304294331542</c:v>
                </c:pt>
                <c:pt idx="7">
                  <c:v>24.087017532352636</c:v>
                </c:pt>
                <c:pt idx="8">
                  <c:v>26.100072569544871</c:v>
                </c:pt>
                <c:pt idx="9">
                  <c:v>27.790251772658699</c:v>
                </c:pt>
                <c:pt idx="10">
                  <c:v>29.076428530105044</c:v>
                </c:pt>
                <c:pt idx="11">
                  <c:v>29.924089127127047</c:v>
                </c:pt>
                <c:pt idx="12">
                  <c:v>30.344621586771737</c:v>
                </c:pt>
                <c:pt idx="13">
                  <c:v>30.383804696023923</c:v>
                </c:pt>
                <c:pt idx="14">
                  <c:v>30.105982947943485</c:v>
                </c:pt>
                <c:pt idx="15">
                  <c:v>29.579977119060594</c:v>
                </c:pt>
                <c:pt idx="16">
                  <c:v>28.869705151074537</c:v>
                </c:pt>
                <c:pt idx="17">
                  <c:v>28.029585817100383</c:v>
                </c:pt>
                <c:pt idx="18">
                  <c:v>27.103374078718122</c:v>
                </c:pt>
                <c:pt idx="19">
                  <c:v>26.124910885521725</c:v>
                </c:pt>
                <c:pt idx="20">
                  <c:v>25.119667968348956</c:v>
                </c:pt>
                <c:pt idx="21">
                  <c:v>24.106436313300719</c:v>
                </c:pt>
                <c:pt idx="22">
                  <c:v>23.098851772916252</c:v>
                </c:pt>
                <c:pt idx="23">
                  <c:v>22.106653769002175</c:v>
                </c:pt>
                <c:pt idx="24">
                  <c:v>21.136673080981776</c:v>
                </c:pt>
                <c:pt idx="25">
                  <c:v>20.193584946452759</c:v>
                </c:pt>
                <c:pt idx="26">
                  <c:v>19.280473793785731</c:v>
                </c:pt>
                <c:pt idx="27">
                  <c:v>18.399252956794395</c:v>
                </c:pt>
                <c:pt idx="28">
                  <c:v>17.550975353738171</c:v>
                </c:pt>
                <c:pt idx="29">
                  <c:v>16.736063253401053</c:v>
                </c:pt>
                <c:pt idx="30">
                  <c:v>15.954478390286914</c:v>
                </c:pt>
                <c:pt idx="31">
                  <c:v>15.205848205698967</c:v>
                </c:pt>
                <c:pt idx="32">
                  <c:v>14.489559803274631</c:v>
                </c:pt>
                <c:pt idx="33">
                  <c:v>13.804830091183865</c:v>
                </c:pt>
                <c:pt idx="34">
                  <c:v>13.150758297744778</c:v>
                </c:pt>
                <c:pt idx="35">
                  <c:v>12.526365383843391</c:v>
                </c:pt>
                <c:pt idx="36">
                  <c:v>11.93062366880606</c:v>
                </c:pt>
                <c:pt idx="37">
                  <c:v>11.36247911114044</c:v>
                </c:pt>
                <c:pt idx="38">
                  <c:v>10.820868049665618</c:v>
                </c:pt>
                <c:pt idx="39">
                  <c:v>10.30472974711153</c:v>
                </c:pt>
                <c:pt idx="40">
                  <c:v>9.8130157391452055</c:v>
                </c:pt>
                <c:pt idx="41">
                  <c:v>9.3446967424656773</c:v>
                </c:pt>
                <c:pt idx="42">
                  <c:v>8.8987676913815807</c:v>
                </c:pt>
                <c:pt idx="43">
                  <c:v>8.4742513354230748</c:v>
                </c:pt>
                <c:pt idx="44">
                  <c:v>8.0702007283051351</c:v>
                </c:pt>
                <c:pt idx="45">
                  <c:v>7.685700861767371</c:v>
                </c:pt>
                <c:pt idx="46">
                  <c:v>7.319869639815729</c:v>
                </c:pt>
                <c:pt idx="47">
                  <c:v>6.9718583448464715</c:v>
                </c:pt>
                <c:pt idx="48">
                  <c:v>6.6408517135075602</c:v>
                </c:pt>
                <c:pt idx="49">
                  <c:v>6.3260677143500734</c:v>
                </c:pt>
                <c:pt idx="50">
                  <c:v>6.0267570994252839</c:v>
                </c:pt>
                <c:pt idx="51">
                  <c:v>5.7422027865684822</c:v>
                </c:pt>
                <c:pt idx="52">
                  <c:v>5.4717191171169075</c:v>
                </c:pt>
                <c:pt idx="53">
                  <c:v>5.2146510244401361</c:v>
                </c:pt>
                <c:pt idx="54">
                  <c:v>4.9703731413171024</c:v>
                </c:pt>
                <c:pt idx="55">
                  <c:v>4.7382888684201951</c:v>
                </c:pt>
                <c:pt idx="56">
                  <c:v>4.5178294216180639</c:v>
                </c:pt>
                <c:pt idx="57">
                  <c:v>4.3084528722208724</c:v>
                </c:pt>
                <c:pt idx="58">
                  <c:v>4.1096431914623697</c:v>
                </c:pt>
                <c:pt idx="59">
                  <c:v>3.9209093082867468</c:v>
                </c:pt>
                <c:pt idx="60">
                  <c:v>3.7417841877649423</c:v>
                </c:pt>
                <c:pt idx="61">
                  <c:v>3.571823936112613</c:v>
                </c:pt>
                <c:pt idx="62">
                  <c:v>3.4106069372495367</c:v>
                </c:pt>
                <c:pt idx="63">
                  <c:v>3.2577330250737377</c:v>
                </c:pt>
                <c:pt idx="64">
                  <c:v>3.1128226950825595</c:v>
                </c:pt>
                <c:pt idx="65">
                  <c:v>2.9755163586276403</c:v>
                </c:pt>
                <c:pt idx="66">
                  <c:v>2.8454736429207625</c:v>
                </c:pt>
                <c:pt idx="67">
                  <c:v>2.7223727399003277</c:v>
                </c:pt>
                <c:pt idx="68">
                  <c:v>2.6059098072183553</c:v>
                </c:pt>
                <c:pt idx="69">
                  <c:v>2.4957984249168694</c:v>
                </c:pt>
                <c:pt idx="70">
                  <c:v>2.3917691118386535</c:v>
                </c:pt>
                <c:pt idx="71">
                  <c:v>2.2935689064762985</c:v>
                </c:pt>
                <c:pt idx="72">
                  <c:v>2.2009610178290924</c:v>
                </c:pt>
                <c:pt idx="73">
                  <c:v>2.1137245529429793</c:v>
                </c:pt>
                <c:pt idx="74">
                  <c:v>2.0316543291994571</c:v>
                </c:pt>
                <c:pt idx="75">
                  <c:v>1.9545607811538108</c:v>
                </c:pt>
                <c:pt idx="76">
                  <c:v>1.8822699738781725</c:v>
                </c:pt>
                <c:pt idx="77">
                  <c:v>1.8146237374396259</c:v>
                </c:pt>
                <c:pt idx="78">
                  <c:v>1.7514799404657651</c:v>
                </c:pt>
                <c:pt idx="79">
                  <c:v>1.6927129248847375</c:v>
                </c:pt>
                <c:pt idx="80">
                  <c:v>1.6382141290871233</c:v>
                </c:pt>
                <c:pt idx="81">
                  <c:v>1.5878929332194349</c:v>
                </c:pt>
                <c:pt idx="82">
                  <c:v>1.541677768443017</c:v>
                </c:pt>
                <c:pt idx="83">
                  <c:v>1.4995175422467659</c:v>
                </c:pt>
                <c:pt idx="84">
                  <c:v>1.4613834449019794</c:v>
                </c:pt>
                <c:pt idx="85">
                  <c:v>1.4272712187012728</c:v>
                </c:pt>
                <c:pt idx="86">
                  <c:v>1.3972039927989004</c:v>
                </c:pt>
                <c:pt idx="87">
                  <c:v>1.3712358136837988</c:v>
                </c:pt>
                <c:pt idx="88">
                  <c:v>1.3494560364566466</c:v>
                </c:pt>
                <c:pt idx="89">
                  <c:v>1.3319947876728924</c:v>
                </c:pt>
                <c:pt idx="90">
                  <c:v>1.3190297699457374</c:v>
                </c:pt>
                <c:pt idx="91">
                  <c:v>1.3107947563474274</c:v>
                </c:pt>
                <c:pt idx="92">
                  <c:v>1.3075902250874394</c:v>
                </c:pt>
                <c:pt idx="93">
                  <c:v>1.309796720372709</c:v>
                </c:pt>
                <c:pt idx="94">
                  <c:v>1.3178917051808074</c:v>
                </c:pt>
                <c:pt idx="95">
                  <c:v>1.3324709114509967</c:v>
                </c:pt>
                <c:pt idx="96">
                  <c:v>1.3542755141146132</c:v>
                </c:pt>
                <c:pt idx="97">
                  <c:v>1.3842268863018601</c:v>
                </c:pt>
                <c:pt idx="98">
                  <c:v>1.4234712731341368</c:v>
                </c:pt>
                <c:pt idx="99">
                  <c:v>1.4734375035240226</c:v>
                </c:pt>
                <c:pt idx="100">
                  <c:v>1.5359119137009238</c:v>
                </c:pt>
                <c:pt idx="101">
                  <c:v>1.6131360747218779</c:v>
                </c:pt>
                <c:pt idx="102">
                  <c:v>1.7079348154513343</c:v>
                </c:pt>
                <c:pt idx="103">
                  <c:v>1.8238845517564819</c:v>
                </c:pt>
                <c:pt idx="104">
                  <c:v>1.9655352212749335</c:v>
                </c:pt>
                <c:pt idx="105">
                  <c:v>2.1387033014342074</c:v>
                </c:pt>
                <c:pt idx="106">
                  <c:v>2.3508584540315298</c:v>
                </c:pt>
                <c:pt idx="107">
                  <c:v>2.6116319627799527</c:v>
                </c:pt>
                <c:pt idx="108">
                  <c:v>2.9334802343032784</c:v>
                </c:pt>
                <c:pt idx="109">
                  <c:v>3.3325385782868722</c:v>
                </c:pt>
                <c:pt idx="110">
                  <c:v>3.8296935534739527</c:v>
                </c:pt>
                <c:pt idx="111">
                  <c:v>4.4518749456565407</c:v>
                </c:pt>
                <c:pt idx="112">
                  <c:v>5.2334996795899418</c:v>
                </c:pt>
                <c:pt idx="113">
                  <c:v>6.2178532020745294</c:v>
                </c:pt>
                <c:pt idx="114">
                  <c:v>7.4579136860116195</c:v>
                </c:pt>
                <c:pt idx="115">
                  <c:v>9.0156442917628823</c:v>
                </c:pt>
                <c:pt idx="116">
                  <c:v>10.958066412406611</c:v>
                </c:pt>
                <c:pt idx="117">
                  <c:v>13.347616856453978</c:v>
                </c:pt>
                <c:pt idx="118">
                  <c:v>16.223960533373553</c:v>
                </c:pt>
                <c:pt idx="119">
                  <c:v>19.575947120673664</c:v>
                </c:pt>
                <c:pt idx="120">
                  <c:v>23.307828196167684</c:v>
                </c:pt>
                <c:pt idx="121">
                  <c:v>27.214053825271282</c:v>
                </c:pt>
                <c:pt idx="122">
                  <c:v>30.986900780733194</c:v>
                </c:pt>
                <c:pt idx="123">
                  <c:v>34.276596558528475</c:v>
                </c:pt>
                <c:pt idx="124">
                  <c:v>36.792158672948041</c:v>
                </c:pt>
                <c:pt idx="125">
                  <c:v>38.39023222918302</c:v>
                </c:pt>
                <c:pt idx="126">
                  <c:v>39.096684245893897</c:v>
                </c:pt>
                <c:pt idx="127">
                  <c:v>39.056900218445747</c:v>
                </c:pt>
                <c:pt idx="128">
                  <c:v>38.46050758131635</c:v>
                </c:pt>
                <c:pt idx="129">
                  <c:v>37.485097252816011</c:v>
                </c:pt>
                <c:pt idx="130">
                  <c:v>36.271568447625299</c:v>
                </c:pt>
                <c:pt idx="131">
                  <c:v>34.921603870612003</c:v>
                </c:pt>
                <c:pt idx="132">
                  <c:v>33.504617126955672</c:v>
                </c:pt>
                <c:pt idx="133">
                  <c:v>32.066438859409111</c:v>
                </c:pt>
                <c:pt idx="134">
                  <c:v>30.636667467824097</c:v>
                </c:pt>
                <c:pt idx="135">
                  <c:v>29.234057538037131</c:v>
                </c:pt>
                <c:pt idx="136">
                  <c:v>27.87021546540824</c:v>
                </c:pt>
                <c:pt idx="137">
                  <c:v>26.552055562793822</c:v>
                </c:pt>
                <c:pt idx="138">
                  <c:v>25.283411332764821</c:v>
                </c:pt>
                <c:pt idx="139">
                  <c:v>24.066089725157859</c:v>
                </c:pt>
                <c:pt idx="140">
                  <c:v>22.900563178354759</c:v>
                </c:pt>
                <c:pt idx="141">
                  <c:v>21.78642683772436</c:v>
                </c:pt>
                <c:pt idx="142">
                  <c:v>20.722703061382212</c:v>
                </c:pt>
                <c:pt idx="143">
                  <c:v>19.708045939740948</c:v>
                </c:pt>
                <c:pt idx="144">
                  <c:v>18.740879772275346</c:v>
                </c:pt>
                <c:pt idx="145">
                  <c:v>17.819493489461983</c:v>
                </c:pt>
                <c:pt idx="146">
                  <c:v>16.942105383624103</c:v>
                </c:pt>
                <c:pt idx="147">
                  <c:v>16.106907622958051</c:v>
                </c:pt>
                <c:pt idx="148">
                  <c:v>15.312096862729874</c:v>
                </c:pt>
                <c:pt idx="149">
                  <c:v>14.555895206207445</c:v>
                </c:pt>
                <c:pt idx="150">
                  <c:v>13.836564409884641</c:v>
                </c:pt>
                <c:pt idx="151">
                  <c:v>13.152415323718312</c:v>
                </c:pt>
                <c:pt idx="152">
                  <c:v>12.501813949279471</c:v>
                </c:pt>
                <c:pt idx="153">
                  <c:v>11.883185085738203</c:v>
                </c:pt>
                <c:pt idx="154">
                  <c:v>11.295014250148599</c:v>
                </c:pt>
                <c:pt idx="155">
                  <c:v>10.735848362022276</c:v>
                </c:pt>
                <c:pt idx="156">
                  <c:v>10.204295544683129</c:v>
                </c:pt>
                <c:pt idx="157">
                  <c:v>9.6990242987878599</c:v>
                </c:pt>
                <c:pt idx="158">
                  <c:v>9.2187622342071265</c:v>
                </c:pt>
                <c:pt idx="159">
                  <c:v>8.7622944967494423</c:v>
                </c:pt>
                <c:pt idx="160">
                  <c:v>8.3284619902065966</c:v>
                </c:pt>
                <c:pt idx="161">
                  <c:v>7.9161594679289147</c:v>
                </c:pt>
                <c:pt idx="162">
                  <c:v>7.5243335488354521</c:v>
                </c:pt>
                <c:pt idx="163">
                  <c:v>7.1519806984881935</c:v>
                </c:pt>
                <c:pt idx="164">
                  <c:v>6.7981452052384777</c:v>
                </c:pt>
                <c:pt idx="165">
                  <c:v>6.4619171735099705</c:v>
                </c:pt>
                <c:pt idx="166">
                  <c:v>6.1424305503128407</c:v>
                </c:pt>
                <c:pt idx="167">
                  <c:v>5.8388611965797628</c:v>
                </c:pt>
                <c:pt idx="168">
                  <c:v>5.5504250115051779</c:v>
                </c:pt>
                <c:pt idx="169">
                  <c:v>5.2763761154828073</c:v>
                </c:pt>
                <c:pt idx="170">
                  <c:v>5.016005095271634</c:v>
                </c:pt>
                <c:pt idx="171">
                  <c:v>4.7686373135280054</c:v>
                </c:pt>
                <c:pt idx="172">
                  <c:v>4.5336312837092727</c:v>
                </c:pt>
                <c:pt idx="173">
                  <c:v>4.310377110498421</c:v>
                </c:pt>
                <c:pt idx="174">
                  <c:v>4.0982949952557437</c:v>
                </c:pt>
                <c:pt idx="175">
                  <c:v>3.896833805524436</c:v>
                </c:pt>
                <c:pt idx="176">
                  <c:v>3.7054697072650353</c:v>
                </c:pt>
                <c:pt idx="177">
                  <c:v>3.5237048582405368</c:v>
                </c:pt>
                <c:pt idx="178">
                  <c:v>3.3510661607979459</c:v>
                </c:pt>
                <c:pt idx="179">
                  <c:v>3.1871040721760524</c:v>
                </c:pt>
                <c:pt idx="180">
                  <c:v>3.0313914704002647</c:v>
                </c:pt>
                <c:pt idx="181">
                  <c:v>2.883522573793257</c:v>
                </c:pt>
                <c:pt idx="182">
                  <c:v>2.7431119121270333</c:v>
                </c:pt>
                <c:pt idx="183">
                  <c:v>2.6097933474617259</c:v>
                </c:pt>
                <c:pt idx="184">
                  <c:v>2.4832191427542423</c:v>
                </c:pt>
                <c:pt idx="185">
                  <c:v>2.3630590763721586</c:v>
                </c:pt>
                <c:pt idx="186">
                  <c:v>2.2489996007122741</c:v>
                </c:pt>
                <c:pt idx="187">
                  <c:v>2.1407430431969963</c:v>
                </c:pt>
                <c:pt idx="188">
                  <c:v>2.038006848003775</c:v>
                </c:pt>
                <c:pt idx="189">
                  <c:v>1.9405228569722712</c:v>
                </c:pt>
                <c:pt idx="190">
                  <c:v>1.8480366282303617</c:v>
                </c:pt>
                <c:pt idx="191">
                  <c:v>1.7603067911834063</c:v>
                </c:pt>
                <c:pt idx="192">
                  <c:v>1.6771044366217869</c:v>
                </c:pt>
                <c:pt idx="193">
                  <c:v>1.5982125408203081</c:v>
                </c:pt>
                <c:pt idx="194">
                  <c:v>1.5234254226307733</c:v>
                </c:pt>
                <c:pt idx="195">
                  <c:v>1.4525482327075316</c:v>
                </c:pt>
                <c:pt idx="196">
                  <c:v>1.3853964741571254</c:v>
                </c:pt>
                <c:pt idx="197">
                  <c:v>1.3217955540700752</c:v>
                </c:pt>
                <c:pt idx="198">
                  <c:v>1.2615803655787348</c:v>
                </c:pt>
                <c:pt idx="199">
                  <c:v>1.204594900294315</c:v>
                </c:pt>
                <c:pt idx="200">
                  <c:v>1.1506918912139734</c:v>
                </c:pt>
                <c:pt idx="201">
                  <c:v>1.0997324864619626</c:v>
                </c:pt>
                <c:pt idx="202">
                  <c:v>1.0515859545455779</c:v>
                </c:pt>
                <c:pt idx="203">
                  <c:v>1.0061294221774781</c:v>
                </c:pt>
                <c:pt idx="204">
                  <c:v>0.96324764615399217</c:v>
                </c:pt>
                <c:pt idx="205">
                  <c:v>0.92283282130077271</c:v>
                </c:pt>
                <c:pt idx="206">
                  <c:v>0.88478442712353156</c:v>
                </c:pt>
                <c:pt idx="207">
                  <c:v>0.84900911655909306</c:v>
                </c:pt>
                <c:pt idx="208">
                  <c:v>0.81542065114449014</c:v>
                </c:pt>
                <c:pt idx="209">
                  <c:v>0.78393988805263859</c:v>
                </c:pt>
                <c:pt idx="210">
                  <c:v>0.75449482583805461</c:v>
                </c:pt>
                <c:pt idx="211">
                  <c:v>0.72702071746727071</c:v>
                </c:pt>
                <c:pt idx="212">
                  <c:v>0.70146026136981843</c:v>
                </c:pt>
                <c:pt idx="213">
                  <c:v>0.6777638839593273</c:v>
                </c:pt>
                <c:pt idx="214">
                  <c:v>0.65589013050120926</c:v>
                </c:pt>
                <c:pt idx="215">
                  <c:v>0.63580618555574198</c:v>
                </c:pt>
                <c:pt idx="216">
                  <c:v>0.61748854978473422</c:v>
                </c:pt>
                <c:pt idx="217">
                  <c:v>0.60092390705219934</c:v>
                </c:pt>
                <c:pt idx="218">
                  <c:v>0.58611022497910659</c:v>
                </c:pt>
                <c:pt idx="219">
                  <c:v>0.57305814411069567</c:v>
                </c:pt>
                <c:pt idx="220">
                  <c:v>0.56179272654785495</c:v>
                </c:pt>
                <c:pt idx="221">
                  <c:v>0.55235565554768318</c:v>
                </c:pt>
                <c:pt idx="222">
                  <c:v>0.54480800495499992</c:v>
                </c:pt>
                <c:pt idx="223">
                  <c:v>0.53923373380040385</c:v>
                </c:pt>
                <c:pt idx="224">
                  <c:v>0.53574411035923086</c:v>
                </c:pt>
                <c:pt idx="225">
                  <c:v>0.53448333614025978</c:v>
                </c:pt>
                <c:pt idx="226">
                  <c:v>0.53563573035613921</c:v>
                </c:pt>
                <c:pt idx="227">
                  <c:v>0.53943495895645754</c:v>
                </c:pt>
                <c:pt idx="228">
                  <c:v>0.54617596296851423</c:v>
                </c:pt>
                <c:pt idx="229">
                  <c:v>0.55623047848333917</c:v>
                </c:pt>
                <c:pt idx="230">
                  <c:v>0.57006737397223117</c:v>
                </c:pt>
                <c:pt idx="231">
                  <c:v>0.58827950200589274</c:v>
                </c:pt>
                <c:pt idx="232">
                  <c:v>0.61161943432481347</c:v>
                </c:pt>
                <c:pt idx="233">
                  <c:v>0.64104741440907409</c:v>
                </c:pt>
                <c:pt idx="234">
                  <c:v>0.67779625901745166</c:v>
                </c:pt>
                <c:pt idx="235">
                  <c:v>0.72345997813355767</c:v>
                </c:pt>
                <c:pt idx="236">
                  <c:v>0.78011587568276075</c:v>
                </c:pt>
                <c:pt idx="237">
                  <c:v>0.85049431554142296</c:v>
                </c:pt>
                <c:pt idx="238">
                  <c:v>0.93821690271650837</c:v>
                </c:pt>
                <c:pt idx="239">
                  <c:v>1.0481336046992857</c:v>
                </c:pt>
                <c:pt idx="240">
                  <c:v>1.1868038902329063</c:v>
                </c:pt>
                <c:pt idx="241">
                  <c:v>1.363188523134536</c:v>
                </c:pt>
                <c:pt idx="242">
                  <c:v>1.5896502013077929</c:v>
                </c:pt>
                <c:pt idx="243">
                  <c:v>1.883406256936659</c:v>
                </c:pt>
                <c:pt idx="244">
                  <c:v>2.2686377846064061</c:v>
                </c:pt>
                <c:pt idx="245">
                  <c:v>2.7795344576831287</c:v>
                </c:pt>
                <c:pt idx="246">
                  <c:v>3.4646242289557305</c:v>
                </c:pt>
                <c:pt idx="247">
                  <c:v>4.392739631377192</c:v>
                </c:pt>
                <c:pt idx="248">
                  <c:v>5.6607403883887955</c:v>
                </c:pt>
                <c:pt idx="249">
                  <c:v>7.4022544508017942</c:v>
                </c:pt>
                <c:pt idx="250">
                  <c:v>9.7944189466220433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86-4E0C-80E1-21D82DDA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369672"/>
        <c:axId val="259370456"/>
      </c:scatterChart>
      <c:valAx>
        <c:axId val="25936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70456"/>
        <c:crosses val="autoZero"/>
        <c:crossBetween val="midCat"/>
      </c:valAx>
      <c:valAx>
        <c:axId val="25937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369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L-V Phase Portrait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LV!$B$4:$B$254</c:f>
              <c:numCache>
                <c:formatCode>General</c:formatCode>
                <c:ptCount val="251"/>
                <c:pt idx="0">
                  <c:v>100</c:v>
                </c:pt>
                <c:pt idx="1">
                  <c:v>100</c:v>
                </c:pt>
                <c:pt idx="2">
                  <c:v>98.5</c:v>
                </c:pt>
                <c:pt idx="3">
                  <c:v>95.323374999999999</c:v>
                </c:pt>
                <c:pt idx="4">
                  <c:v>90.396038253718743</c:v>
                </c:pt>
                <c:pt idx="5">
                  <c:v>83.794816848735792</c:v>
                </c:pt>
                <c:pt idx="6">
                  <c:v>75.779345428682575</c:v>
                </c:pt>
                <c:pt idx="7">
                  <c:v>66.787137707862485</c:v>
                </c:pt>
                <c:pt idx="8">
                  <c:v>57.378821909599395</c:v>
                </c:pt>
                <c:pt idx="9">
                  <c:v>48.14078994260398</c:v>
                </c:pt>
                <c:pt idx="10">
                  <c:v>39.576422206467974</c:v>
                </c:pt>
                <c:pt idx="11">
                  <c:v>32.026654309478488</c:v>
                </c:pt>
                <c:pt idx="12">
                  <c:v>25.645635160421119</c:v>
                </c:pt>
                <c:pt idx="13">
                  <c:v>20.42812773350936</c:v>
                </c:pt>
                <c:pt idx="14">
                  <c:v>16.264098073256513</c:v>
                </c:pt>
                <c:pt idx="15">
                  <c:v>12.994041288010752</c:v>
                </c:pt>
                <c:pt idx="16">
                  <c:v>10.449810976976959</c:v>
                </c:pt>
                <c:pt idx="17">
                  <c:v>8.4779624567767851</c:v>
                </c:pt>
                <c:pt idx="18">
                  <c:v>6.9494209400906621</c:v>
                </c:pt>
                <c:pt idx="19">
                  <c:v>5.7608354804021866</c:v>
                </c:pt>
                <c:pt idx="20">
                  <c:v>4.8319058929258167</c:v>
                </c:pt>
                <c:pt idx="21">
                  <c:v>4.101337765372346</c:v>
                </c:pt>
                <c:pt idx="22">
                  <c:v>3.522785165506745</c:v>
                </c:pt>
                <c:pt idx="23">
                  <c:v>3.061340758398734</c:v>
                </c:pt>
                <c:pt idx="24">
                  <c:v>2.6907148320900536</c:v>
                </c:pt>
                <c:pt idx="25">
                  <c:v>2.3910587176986966</c:v>
                </c:pt>
                <c:pt idx="26">
                  <c:v>2.1473241161905161</c:v>
                </c:pt>
                <c:pt idx="27">
                  <c:v>1.9480422643198141</c:v>
                </c:pt>
                <c:pt idx="28">
                  <c:v>1.7844212668343276</c:v>
                </c:pt>
                <c:pt idx="29">
                  <c:v>1.649680056768805</c:v>
                </c:pt>
                <c:pt idx="30">
                  <c:v>1.5385565646661159</c:v>
                </c:pt>
                <c:pt idx="31">
                  <c:v>1.4469435465007312</c:v>
                </c:pt>
                <c:pt idx="32">
                  <c:v>1.3716178618477459</c:v>
                </c:pt>
                <c:pt idx="33">
                  <c:v>1.3100382576676946</c:v>
                </c:pt>
                <c:pt idx="34">
                  <c:v>1.2601935278339333</c:v>
                </c:pt>
                <c:pt idx="35">
                  <c:v>1.2204878756880631</c:v>
                </c:pt>
                <c:pt idx="36">
                  <c:v>1.1896538924826743</c:v>
                </c:pt>
                <c:pt idx="37">
                  <c:v>1.1666861528575312</c:v>
                </c:pt>
                <c:pt idx="38">
                  <c:v>1.1507902977322793</c:v>
                </c:pt>
                <c:pt idx="39">
                  <c:v>1.1413438278595431</c:v>
                </c:pt>
                <c:pt idx="40">
                  <c:v>1.1378658136992337</c:v>
                </c:pt>
                <c:pt idx="41">
                  <c:v>1.1399934436804986</c:v>
                </c:pt>
                <c:pt idx="42">
                  <c:v>1.1474638578526146</c:v>
                </c:pt>
                <c:pt idx="43">
                  <c:v>1.1601001005850069</c:v>
                </c:pt>
                <c:pt idx="44">
                  <c:v>1.1778003123774381</c:v>
                </c:pt>
                <c:pt idx="45">
                  <c:v>1.2005294942277178</c:v>
                </c:pt>
                <c:pt idx="46">
                  <c:v>1.2283133379668585</c:v>
                </c:pt>
                <c:pt idx="47">
                  <c:v>1.261233736655901</c:v>
                </c:pt>
                <c:pt idx="48">
                  <c:v>1.2994256808044278</c:v>
                </c:pt>
                <c:pt idx="49">
                  <c:v>1.3430753162954123</c:v>
                </c:pt>
                <c:pt idx="50">
                  <c:v>1.3924189939613842</c:v>
                </c:pt>
                <c:pt idx="51">
                  <c:v>1.4477431827852087</c:v>
                </c:pt>
                <c:pt idx="52">
                  <c:v>1.5093851516794821</c:v>
                </c:pt>
                <c:pt idx="53">
                  <c:v>1.57773435095206</c:v>
                </c:pt>
                <c:pt idx="54">
                  <c:v>1.6532344455524006</c:v>
                </c:pt>
                <c:pt idx="55">
                  <c:v>1.7363859692629013</c:v>
                </c:pt>
                <c:pt idx="56">
                  <c:v>1.8277495830947974</c:v>
                </c:pt>
                <c:pt idx="57">
                  <c:v>1.9279499329857188</c:v>
                </c:pt>
                <c:pt idx="58">
                  <c:v>2.0376801120215871</c:v>
                </c:pt>
                <c:pt idx="59">
                  <c:v>2.157706741236268</c:v>
                </c:pt>
                <c:pt idx="60">
                  <c:v>2.2888756908972314</c:v>
                </c:pt>
                <c:pt idx="61">
                  <c:v>2.4321184713073665</c:v>
                </c:pt>
                <c:pt idx="62">
                  <c:v>2.5884593287253304</c:v>
                </c:pt>
                <c:pt idx="63">
                  <c:v>2.7590230881644744</c:v>
                </c:pt>
                <c:pt idx="64">
                  <c:v>2.9450437906683784</c:v>
                </c:pt>
                <c:pt idx="65">
                  <c:v>3.1478741782391713</c:v>
                </c:pt>
                <c:pt idx="66">
                  <c:v>3.3689960849405662</c:v>
                </c:pt>
                <c:pt idx="67">
                  <c:v>3.6100317978066068</c:v>
                </c:pt>
                <c:pt idx="68">
                  <c:v>3.8727564560220467</c:v>
                </c:pt>
                <c:pt idx="69">
                  <c:v>4.1591115613270908</c:v>
                </c:pt>
                <c:pt idx="70">
                  <c:v>4.4712196766216632</c:v>
                </c:pt>
                <c:pt idx="71">
                  <c:v>4.8114003931359406</c:v>
                </c:pt>
                <c:pt idx="72">
                  <c:v>5.1821876490664902</c:v>
                </c:pt>
                <c:pt idx="73">
                  <c:v>5.5863484839464324</c:v>
                </c:pt>
                <c:pt idx="74">
                  <c:v>6.0269033128229417</c:v>
                </c:pt>
                <c:pt idx="75">
                  <c:v>6.5071478020336029</c:v>
                </c:pt>
                <c:pt idx="76">
                  <c:v>7.0306764233267023</c:v>
                </c:pt>
                <c:pt idx="77">
                  <c:v>7.6014077543825618</c:v>
                </c:pt>
                <c:pt idx="78">
                  <c:v>8.2236115803302159</c:v>
                </c:pt>
                <c:pt idx="79">
                  <c:v>8.9019378311519333</c:v>
                </c:pt>
                <c:pt idx="80">
                  <c:v>9.6414473620340146</c:v>
                </c:pt>
                <c:pt idx="81">
                  <c:v>10.447644545304078</c:v>
                </c:pt>
                <c:pt idx="82">
                  <c:v>11.326511590411716</c:v>
                </c:pt>
                <c:pt idx="83">
                  <c:v>12.284544438323389</c:v>
                </c:pt>
                <c:pt idx="84">
                  <c:v>13.328789983317968</c:v>
                </c:pt>
                <c:pt idx="85">
                  <c:v>14.466884251427803</c:v>
                </c:pt>
                <c:pt idx="86">
                  <c:v>15.707091001407127</c:v>
                </c:pt>
                <c:pt idx="87">
                  <c:v>17.058339998923621</c:v>
                </c:pt>
                <c:pt idx="88">
                  <c:v>18.530263931530794</c:v>
                </c:pt>
                <c:pt idx="89">
                  <c:v>20.133232559488484</c:v>
                </c:pt>
                <c:pt idx="90">
                  <c:v>21.878382207154885</c:v>
                </c:pt>
                <c:pt idx="91">
                  <c:v>23.77763805337549</c:v>
                </c:pt>
                <c:pt idx="92">
                  <c:v>25.843725825926121</c:v>
                </c:pt>
                <c:pt idx="93">
                  <c:v>28.090168375820525</c:v>
                </c:pt>
                <c:pt idx="94">
                  <c:v>30.531261109268907</c:v>
                </c:pt>
                <c:pt idx="95">
                  <c:v>33.182018262549647</c:v>
                </c:pt>
                <c:pt idx="96">
                  <c:v>36.058079347623782</c:v>
                </c:pt>
                <c:pt idx="97">
                  <c:v>39.175561542921272</c:v>
                </c:pt>
                <c:pt idx="98">
                  <c:v>42.55083904147655</c:v>
                </c:pt>
                <c:pt idx="99">
                  <c:v>46.200223975391239</c:v>
                </c:pt>
                <c:pt idx="100">
                  <c:v>50.139514946164851</c:v>
                </c:pt>
                <c:pt idx="101">
                  <c:v>54.383367657251334</c:v>
                </c:pt>
                <c:pt idx="102">
                  <c:v>58.944426700648719</c:v>
                </c:pt>
                <c:pt idx="103">
                  <c:v>63.832136985325022</c:v>
                </c:pt>
                <c:pt idx="104">
                  <c:v>69.051126198326145</c:v>
                </c:pt>
                <c:pt idx="105">
                  <c:v>74.599014612043661</c:v>
                </c:pt>
                <c:pt idx="106">
                  <c:v>80.463464484902858</c:v>
                </c:pt>
                <c:pt idx="107">
                  <c:v>86.618228776143141</c:v>
                </c:pt>
                <c:pt idx="108">
                  <c:v>93.017902305445844</c:v>
                </c:pt>
                <c:pt idx="109">
                  <c:v>99.59103075749664</c:v>
                </c:pt>
                <c:pt idx="110">
                  <c:v>106.23122431273919</c:v>
                </c:pt>
                <c:pt idx="111">
                  <c:v>112.78601639473167</c:v>
                </c:pt>
                <c:pt idx="112">
                  <c:v>119.0435256281237</c:v>
                </c:pt>
                <c:pt idx="113">
                  <c:v>124.71773565861565</c:v>
                </c:pt>
                <c:pt idx="114">
                  <c:v>129.43474350427314</c:v>
                </c:pt>
                <c:pt idx="115">
                  <c:v>132.72508640444124</c:v>
                </c:pt>
                <c:pt idx="116">
                  <c:v>134.03157336872601</c:v>
                </c:pt>
                <c:pt idx="117">
                  <c:v>132.74746188226013</c:v>
                </c:pt>
                <c:pt idx="118">
                  <c:v>128.30358547177477</c:v>
                </c:pt>
                <c:pt idx="119">
                  <c:v>120.3180209491083</c:v>
                </c:pt>
                <c:pt idx="120">
                  <c:v>108.79643088638063</c:v>
                </c:pt>
                <c:pt idx="121">
                  <c:v>94.317988780458791</c:v>
                </c:pt>
                <c:pt idx="122">
                  <c:v>78.08203942487728</c:v>
                </c:pt>
                <c:pt idx="123">
                  <c:v>61.695039283205304</c:v>
                </c:pt>
                <c:pt idx="124">
                  <c:v>46.717583499795893</c:v>
                </c:pt>
                <c:pt idx="125">
                  <c:v>34.200934400363586</c:v>
                </c:pt>
                <c:pt idx="126">
                  <c:v>24.49120969954982</c:v>
                </c:pt>
                <c:pt idx="127">
                  <c:v>17.36507974527207</c:v>
                </c:pt>
                <c:pt idx="128">
                  <c:v>12.319325850834829</c:v>
                </c:pt>
                <c:pt idx="129">
                  <c:v>8.8131831830909171</c:v>
                </c:pt>
                <c:pt idx="130">
                  <c:v>6.3908712141495521</c:v>
                </c:pt>
                <c:pt idx="131">
                  <c:v>4.7118891087246704</c:v>
                </c:pt>
                <c:pt idx="132">
                  <c:v>3.5376107702257973</c:v>
                </c:pt>
                <c:pt idx="133">
                  <c:v>2.706108903242276</c:v>
                </c:pt>
                <c:pt idx="134">
                  <c:v>2.1089670366392927</c:v>
                </c:pt>
                <c:pt idx="135">
                  <c:v>1.673746522282018</c:v>
                </c:pt>
                <c:pt idx="136">
                  <c:v>1.3518171531453991</c:v>
                </c:pt>
                <c:pt idx="137">
                  <c:v>1.1102445151799685</c:v>
                </c:pt>
                <c:pt idx="138">
                  <c:v>0.9264762261445092</c:v>
                </c:pt>
                <c:pt idx="139">
                  <c:v>0.78487905360256738</c:v>
                </c:pt>
                <c:pt idx="140">
                  <c:v>0.67447726168886035</c:v>
                </c:pt>
                <c:pt idx="141">
                  <c:v>0.58746589642105174</c:v>
                </c:pt>
                <c:pt idx="142">
                  <c:v>0.51822465834280296</c:v>
                </c:pt>
                <c:pt idx="143">
                  <c:v>0.4626569670378417</c:v>
                </c:pt>
                <c:pt idx="144">
                  <c:v>0.41774201613439588</c:v>
                </c:pt>
                <c:pt idx="145">
                  <c:v>0.38122768874580926</c:v>
                </c:pt>
                <c:pt idx="146">
                  <c:v>0.3514176144443043</c:v>
                </c:pt>
                <c:pt idx="147">
                  <c:v>0.32702183331296286</c:v>
                </c:pt>
                <c:pt idx="148">
                  <c:v>0.30705091204563634</c:v>
                </c:pt>
                <c:pt idx="149">
                  <c:v>0.29074007017987663</c:v>
                </c:pt>
                <c:pt idx="150">
                  <c:v>0.27749425726002747</c:v>
                </c:pt>
                <c:pt idx="151">
                  <c:v>0.26684801134651553</c:v>
                </c:pt>
                <c:pt idx="152">
                  <c:v>0.25843585374579037</c:v>
                </c:pt>
                <c:pt idx="153">
                  <c:v>0.25197026950683871</c:v>
                </c:pt>
                <c:pt idx="154">
                  <c:v>0.24722520297099157</c:v>
                </c:pt>
                <c:pt idx="155">
                  <c:v>0.24402360136255843</c:v>
                </c:pt>
                <c:pt idx="156">
                  <c:v>0.24222795768898428</c:v>
                </c:pt>
                <c:pt idx="157">
                  <c:v>0.24173309676344876</c:v>
                </c:pt>
                <c:pt idx="158">
                  <c:v>0.24246065464649436</c:v>
                </c:pt>
                <c:pt idx="159">
                  <c:v>0.24435484884778141</c:v>
                </c:pt>
                <c:pt idx="160">
                  <c:v>0.24737924225942998</c:v>
                </c:pt>
                <c:pt idx="161">
                  <c:v>0.25151428032213524</c:v>
                </c:pt>
                <c:pt idx="162">
                  <c:v>0.2567554368394348</c:v>
                </c:pt>
                <c:pt idx="163">
                  <c:v>0.26311184505080965</c:v>
                </c:pt>
                <c:pt idx="164">
                  <c:v>0.27060532118242053</c:v>
                </c:pt>
                <c:pt idx="165">
                  <c:v>0.27926971063357969</c:v>
                </c:pt>
                <c:pt idx="166">
                  <c:v>0.28915050430509476</c:v>
                </c:pt>
                <c:pt idx="167">
                  <c:v>0.30030468582278447</c:v>
                </c:pt>
                <c:pt idx="168">
                  <c:v>0.31280078063304556</c:v>
                </c:pt>
                <c:pt idx="169">
                  <c:v>0.32671908593191012</c:v>
                </c:pt>
                <c:pt idx="170">
                  <c:v>0.3421520667102661</c:v>
                </c:pt>
                <c:pt idx="171">
                  <c:v>0.35920490828152857</c:v>
                </c:pt>
                <c:pt idx="172">
                  <c:v>0.3779962198213444</c:v>
                </c:pt>
                <c:pt idx="173">
                  <c:v>0.3986588869304199</c:v>
                </c:pt>
                <c:pt idx="174">
                  <c:v>0.42134107421224531</c:v>
                </c:pt>
                <c:pt idx="175">
                  <c:v>0.44620738147607258</c:v>
                </c:pt>
                <c:pt idx="176">
                  <c:v>0.47344015953957486</c:v>
                </c:pt>
                <c:pt idx="177">
                  <c:v>0.50324099379976617</c:v>
                </c:pt>
                <c:pt idx="178">
                  <c:v>0.53583236583256244</c:v>
                </c:pt>
                <c:pt idx="179">
                  <c:v>0.57145950532580059</c:v>
                </c:pt>
                <c:pt idx="180">
                  <c:v>0.61039244669330495</c:v>
                </c:pt>
                <c:pt idx="181">
                  <c:v>0.65292830679760716</c:v>
                </c:pt>
                <c:pt idx="182">
                  <c:v>0.69939380236017279</c:v>
                </c:pt>
                <c:pt idx="183">
                  <c:v>0.75014802789097002</c:v>
                </c:pt>
                <c:pt idx="184">
                  <c:v>0.80558551735205319</c:v>
                </c:pt>
                <c:pt idx="185">
                  <c:v>0.86613961530911654</c:v>
                </c:pt>
                <c:pt idx="186">
                  <c:v>0.93228618604641122</c:v>
                </c:pt>
                <c:pt idx="187">
                  <c:v>1.0045476920493728</c:v>
                </c:pt>
                <c:pt idx="188">
                  <c:v>1.083497676421167</c:v>
                </c:pt>
                <c:pt idx="189">
                  <c:v>1.1697656872198585</c:v>
                </c:pt>
                <c:pt idx="190">
                  <c:v>1.2640426854083242</c:v>
                </c:pt>
                <c:pt idx="191">
                  <c:v>1.3670869821263441</c:v>
                </c:pt>
                <c:pt idx="192">
                  <c:v>1.4797307553512242</c:v>
                </c:pt>
                <c:pt idx="193">
                  <c:v>1.6028872007382942</c:v>
                </c:pt>
                <c:pt idx="194">
                  <c:v>1.7375583765547207</c:v>
                </c:pt>
                <c:pt idx="195">
                  <c:v>1.8848438081687076</c:v>
                </c:pt>
                <c:pt idx="196">
                  <c:v>2.0459499235607264</c:v>
                </c:pt>
                <c:pt idx="197">
                  <c:v>2.2222003978127685</c:v>
                </c:pt>
                <c:pt idx="198">
                  <c:v>2.4150474915332287</c:v>
                </c:pt>
                <c:pt idx="199">
                  <c:v>2.6260844757139665</c:v>
                </c:pt>
                <c:pt idx="200">
                  <c:v>2.8570592436134921</c:v>
                </c:pt>
                <c:pt idx="201">
                  <c:v>3.1098892189314014</c:v>
                </c:pt>
                <c:pt idx="202">
                  <c:v>3.3866776787909747</c:v>
                </c:pt>
                <c:pt idx="203">
                  <c:v>3.6897316198741761</c:v>
                </c:pt>
                <c:pt idx="204">
                  <c:v>4.0215813064346539</c:v>
                </c:pt>
                <c:pt idx="205">
                  <c:v>4.3850016498057185</c:v>
                </c:pt>
                <c:pt idx="206">
                  <c:v>4.7830355803473026</c:v>
                </c:pt>
                <c:pt idx="207">
                  <c:v>5.219019584423342</c:v>
                </c:pt>
                <c:pt idx="208">
                  <c:v>5.6966115907989172</c:v>
                </c:pt>
                <c:pt idx="209">
                  <c:v>6.2198214025519443</c:v>
                </c:pt>
                <c:pt idx="210">
                  <c:v>6.7930438818668986</c:v>
                </c:pt>
                <c:pt idx="211">
                  <c:v>7.4210951054479946</c:v>
                </c:pt>
                <c:pt idx="212">
                  <c:v>8.1092517171132368</c:v>
                </c:pt>
                <c:pt idx="213">
                  <c:v>8.8632937105345615</c:v>
                </c:pt>
                <c:pt idx="214">
                  <c:v>9.6895508778887756</c:v>
                </c:pt>
                <c:pt idx="215">
                  <c:v>10.594953157779688</c:v>
                </c:pt>
                <c:pt idx="216">
                  <c:v>11.587085106023761</c:v>
                </c:pt>
                <c:pt idx="217">
                  <c:v>12.674244692842628</c:v>
                </c:pt>
                <c:pt idx="218">
                  <c:v>13.865506595729304</c:v>
                </c:pt>
                <c:pt idx="219">
                  <c:v>15.170790103399513</c:v>
                </c:pt>
                <c:pt idx="220">
                  <c:v>16.600931665525994</c:v>
                </c:pt>
                <c:pt idx="221">
                  <c:v>18.167762005442491</c:v>
                </c:pt>
                <c:pt idx="222">
                  <c:v>19.884187545063234</c:v>
                </c:pt>
                <c:pt idx="223">
                  <c:v>21.764275654103788</c:v>
                </c:pt>
                <c:pt idx="224">
                  <c:v>23.823342903269932</c:v>
                </c:pt>
                <c:pt idx="225">
                  <c:v>26.078045037101973</c:v>
                </c:pt>
                <c:pt idx="226">
                  <c:v>28.546466735697706</c:v>
                </c:pt>
                <c:pt idx="227">
                  <c:v>31.24820833367685</c:v>
                </c:pt>
                <c:pt idx="228">
                  <c:v>34.204465407245138</c:v>
                </c:pt>
                <c:pt idx="229">
                  <c:v>37.438095379653397</c:v>
                </c:pt>
                <c:pt idx="230">
                  <c:v>40.973662820553443</c:v>
                </c:pt>
                <c:pt idx="231">
                  <c:v>44.837451618947419</c:v>
                </c:pt>
                <c:pt idx="232">
                  <c:v>49.057427243746083</c:v>
                </c:pt>
                <c:pt idx="233">
                  <c:v>53.663125209118185</c:v>
                </c:pt>
                <c:pt idx="234">
                  <c:v>58.685431653385848</c:v>
                </c:pt>
                <c:pt idx="235">
                  <c:v>64.156207158389535</c:v>
                </c:pt>
                <c:pt idx="236">
                  <c:v>70.107683391949081</c:v>
                </c:pt>
                <c:pt idx="237">
                  <c:v>76.571530562929993</c:v>
                </c:pt>
                <c:pt idx="238">
                  <c:v>83.577447104462209</c:v>
                </c:pt>
                <c:pt idx="239">
                  <c:v>91.151054079315415</c:v>
                </c:pt>
                <c:pt idx="240">
                  <c:v>99.310774658404029</c:v>
                </c:pt>
                <c:pt idx="241">
                  <c:v>108.06322798717805</c:v>
                </c:pt>
                <c:pt idx="242">
                  <c:v>117.39644526424594</c:v>
                </c:pt>
                <c:pt idx="243">
                  <c:v>127.26989696219925</c:v>
                </c:pt>
                <c:pt idx="244">
                  <c:v>137.59987745583629</c:v>
                </c:pt>
                <c:pt idx="245">
                  <c:v>148.2382223898847</c:v>
                </c:pt>
                <c:pt idx="246">
                  <c:v>158.94171215808939</c:v>
                </c:pt>
                <c:pt idx="247">
                  <c:v>169.32915030455209</c:v>
                </c:pt>
                <c:pt idx="248">
                  <c:v>178.82387664210498</c:v>
                </c:pt>
                <c:pt idx="249">
                  <c:v>186.58350889715328</c:v>
                </c:pt>
                <c:pt idx="250">
                  <c:v>191.43047369506692</c:v>
                </c:pt>
              </c:numCache>
            </c:numRef>
          </c:xVal>
          <c:yVal>
            <c:numRef>
              <c:f>LV!$C$4:$C$254</c:f>
              <c:numCache>
                <c:formatCode>General</c:formatCode>
                <c:ptCount val="251"/>
                <c:pt idx="0">
                  <c:v>10</c:v>
                </c:pt>
                <c:pt idx="1">
                  <c:v>11.5</c:v>
                </c:pt>
                <c:pt idx="2">
                  <c:v>13.225</c:v>
                </c:pt>
                <c:pt idx="3">
                  <c:v>15.169074999999999</c:v>
                </c:pt>
                <c:pt idx="4">
                  <c:v>17.30255609925625</c:v>
                </c:pt>
                <c:pt idx="5">
                  <c:v>19.565593340364401</c:v>
                </c:pt>
                <c:pt idx="6">
                  <c:v>21.866304294331542</c:v>
                </c:pt>
                <c:pt idx="7">
                  <c:v>24.087017532352636</c:v>
                </c:pt>
                <c:pt idx="8">
                  <c:v>26.100072569544871</c:v>
                </c:pt>
                <c:pt idx="9">
                  <c:v>27.790251772658699</c:v>
                </c:pt>
                <c:pt idx="10">
                  <c:v>29.076428530105044</c:v>
                </c:pt>
                <c:pt idx="11">
                  <c:v>29.924089127127047</c:v>
                </c:pt>
                <c:pt idx="12">
                  <c:v>30.344621586771737</c:v>
                </c:pt>
                <c:pt idx="13">
                  <c:v>30.383804696023923</c:v>
                </c:pt>
                <c:pt idx="14">
                  <c:v>30.105982947943485</c:v>
                </c:pt>
                <c:pt idx="15">
                  <c:v>29.579977119060594</c:v>
                </c:pt>
                <c:pt idx="16">
                  <c:v>28.869705151074537</c:v>
                </c:pt>
                <c:pt idx="17">
                  <c:v>28.029585817100383</c:v>
                </c:pt>
                <c:pt idx="18">
                  <c:v>27.103374078718122</c:v>
                </c:pt>
                <c:pt idx="19">
                  <c:v>26.124910885521725</c:v>
                </c:pt>
                <c:pt idx="20">
                  <c:v>25.119667968348956</c:v>
                </c:pt>
                <c:pt idx="21">
                  <c:v>24.106436313300719</c:v>
                </c:pt>
                <c:pt idx="22">
                  <c:v>23.098851772916252</c:v>
                </c:pt>
                <c:pt idx="23">
                  <c:v>22.106653769002175</c:v>
                </c:pt>
                <c:pt idx="24">
                  <c:v>21.136673080981776</c:v>
                </c:pt>
                <c:pt idx="25">
                  <c:v>20.193584946452759</c:v>
                </c:pt>
                <c:pt idx="26">
                  <c:v>19.280473793785731</c:v>
                </c:pt>
                <c:pt idx="27">
                  <c:v>18.399252956794395</c:v>
                </c:pt>
                <c:pt idx="28">
                  <c:v>17.550975353738171</c:v>
                </c:pt>
                <c:pt idx="29">
                  <c:v>16.736063253401053</c:v>
                </c:pt>
                <c:pt idx="30">
                  <c:v>15.954478390286914</c:v>
                </c:pt>
                <c:pt idx="31">
                  <c:v>15.205848205698967</c:v>
                </c:pt>
                <c:pt idx="32">
                  <c:v>14.489559803274631</c:v>
                </c:pt>
                <c:pt idx="33">
                  <c:v>13.804830091183865</c:v>
                </c:pt>
                <c:pt idx="34">
                  <c:v>13.150758297744778</c:v>
                </c:pt>
                <c:pt idx="35">
                  <c:v>12.526365383843391</c:v>
                </c:pt>
                <c:pt idx="36">
                  <c:v>11.93062366880606</c:v>
                </c:pt>
                <c:pt idx="37">
                  <c:v>11.36247911114044</c:v>
                </c:pt>
                <c:pt idx="38">
                  <c:v>10.820868049665618</c:v>
                </c:pt>
                <c:pt idx="39">
                  <c:v>10.30472974711153</c:v>
                </c:pt>
                <c:pt idx="40">
                  <c:v>9.8130157391452055</c:v>
                </c:pt>
                <c:pt idx="41">
                  <c:v>9.3446967424656773</c:v>
                </c:pt>
                <c:pt idx="42">
                  <c:v>8.8987676913815807</c:v>
                </c:pt>
                <c:pt idx="43">
                  <c:v>8.4742513354230748</c:v>
                </c:pt>
                <c:pt idx="44">
                  <c:v>8.0702007283051351</c:v>
                </c:pt>
                <c:pt idx="45">
                  <c:v>7.685700861767371</c:v>
                </c:pt>
                <c:pt idx="46">
                  <c:v>7.319869639815729</c:v>
                </c:pt>
                <c:pt idx="47">
                  <c:v>6.9718583448464715</c:v>
                </c:pt>
                <c:pt idx="48">
                  <c:v>6.6408517135075602</c:v>
                </c:pt>
                <c:pt idx="49">
                  <c:v>6.3260677143500734</c:v>
                </c:pt>
                <c:pt idx="50">
                  <c:v>6.0267570994252839</c:v>
                </c:pt>
                <c:pt idx="51">
                  <c:v>5.7422027865684822</c:v>
                </c:pt>
                <c:pt idx="52">
                  <c:v>5.4717191171169075</c:v>
                </c:pt>
                <c:pt idx="53">
                  <c:v>5.2146510244401361</c:v>
                </c:pt>
                <c:pt idx="54">
                  <c:v>4.9703731413171024</c:v>
                </c:pt>
                <c:pt idx="55">
                  <c:v>4.7382888684201951</c:v>
                </c:pt>
                <c:pt idx="56">
                  <c:v>4.5178294216180639</c:v>
                </c:pt>
                <c:pt idx="57">
                  <c:v>4.3084528722208724</c:v>
                </c:pt>
                <c:pt idx="58">
                  <c:v>4.1096431914623697</c:v>
                </c:pt>
                <c:pt idx="59">
                  <c:v>3.9209093082867468</c:v>
                </c:pt>
                <c:pt idx="60">
                  <c:v>3.7417841877649423</c:v>
                </c:pt>
                <c:pt idx="61">
                  <c:v>3.571823936112613</c:v>
                </c:pt>
                <c:pt idx="62">
                  <c:v>3.4106069372495367</c:v>
                </c:pt>
                <c:pt idx="63">
                  <c:v>3.2577330250737377</c:v>
                </c:pt>
                <c:pt idx="64">
                  <c:v>3.1128226950825595</c:v>
                </c:pt>
                <c:pt idx="65">
                  <c:v>2.9755163586276403</c:v>
                </c:pt>
                <c:pt idx="66">
                  <c:v>2.8454736429207625</c:v>
                </c:pt>
                <c:pt idx="67">
                  <c:v>2.7223727399003277</c:v>
                </c:pt>
                <c:pt idx="68">
                  <c:v>2.6059098072183553</c:v>
                </c:pt>
                <c:pt idx="69">
                  <c:v>2.4957984249168694</c:v>
                </c:pt>
                <c:pt idx="70">
                  <c:v>2.3917691118386535</c:v>
                </c:pt>
                <c:pt idx="71">
                  <c:v>2.2935689064762985</c:v>
                </c:pt>
                <c:pt idx="72">
                  <c:v>2.2009610178290924</c:v>
                </c:pt>
                <c:pt idx="73">
                  <c:v>2.1137245529429793</c:v>
                </c:pt>
                <c:pt idx="74">
                  <c:v>2.0316543291994571</c:v>
                </c:pt>
                <c:pt idx="75">
                  <c:v>1.9545607811538108</c:v>
                </c:pt>
                <c:pt idx="76">
                  <c:v>1.8822699738781725</c:v>
                </c:pt>
                <c:pt idx="77">
                  <c:v>1.8146237374396259</c:v>
                </c:pt>
                <c:pt idx="78">
                  <c:v>1.7514799404657651</c:v>
                </c:pt>
                <c:pt idx="79">
                  <c:v>1.6927129248847375</c:v>
                </c:pt>
                <c:pt idx="80">
                  <c:v>1.6382141290871233</c:v>
                </c:pt>
                <c:pt idx="81">
                  <c:v>1.5878929332194349</c:v>
                </c:pt>
                <c:pt idx="82">
                  <c:v>1.541677768443017</c:v>
                </c:pt>
                <c:pt idx="83">
                  <c:v>1.4995175422467659</c:v>
                </c:pt>
                <c:pt idx="84">
                  <c:v>1.4613834449019794</c:v>
                </c:pt>
                <c:pt idx="85">
                  <c:v>1.4272712187012728</c:v>
                </c:pt>
                <c:pt idx="86">
                  <c:v>1.3972039927989004</c:v>
                </c:pt>
                <c:pt idx="87">
                  <c:v>1.3712358136837988</c:v>
                </c:pt>
                <c:pt idx="88">
                  <c:v>1.3494560364566466</c:v>
                </c:pt>
                <c:pt idx="89">
                  <c:v>1.3319947876728924</c:v>
                </c:pt>
                <c:pt idx="90">
                  <c:v>1.3190297699457374</c:v>
                </c:pt>
                <c:pt idx="91">
                  <c:v>1.3107947563474274</c:v>
                </c:pt>
                <c:pt idx="92">
                  <c:v>1.3075902250874394</c:v>
                </c:pt>
                <c:pt idx="93">
                  <c:v>1.309796720372709</c:v>
                </c:pt>
                <c:pt idx="94">
                  <c:v>1.3178917051808074</c:v>
                </c:pt>
                <c:pt idx="95">
                  <c:v>1.3324709114509967</c:v>
                </c:pt>
                <c:pt idx="96">
                  <c:v>1.3542755141146132</c:v>
                </c:pt>
                <c:pt idx="97">
                  <c:v>1.3842268863018601</c:v>
                </c:pt>
                <c:pt idx="98">
                  <c:v>1.4234712731341368</c:v>
                </c:pt>
                <c:pt idx="99">
                  <c:v>1.4734375035240226</c:v>
                </c:pt>
                <c:pt idx="100">
                  <c:v>1.5359119137009238</c:v>
                </c:pt>
                <c:pt idx="101">
                  <c:v>1.6131360747218779</c:v>
                </c:pt>
                <c:pt idx="102">
                  <c:v>1.7079348154513343</c:v>
                </c:pt>
                <c:pt idx="103">
                  <c:v>1.8238845517564819</c:v>
                </c:pt>
                <c:pt idx="104">
                  <c:v>1.9655352212749335</c:v>
                </c:pt>
                <c:pt idx="105">
                  <c:v>2.1387033014342074</c:v>
                </c:pt>
                <c:pt idx="106">
                  <c:v>2.3508584540315298</c:v>
                </c:pt>
                <c:pt idx="107">
                  <c:v>2.6116319627799527</c:v>
                </c:pt>
                <c:pt idx="108">
                  <c:v>2.9334802343032784</c:v>
                </c:pt>
                <c:pt idx="109">
                  <c:v>3.3325385782868722</c:v>
                </c:pt>
                <c:pt idx="110">
                  <c:v>3.8296935534739527</c:v>
                </c:pt>
                <c:pt idx="111">
                  <c:v>4.4518749456565407</c:v>
                </c:pt>
                <c:pt idx="112">
                  <c:v>5.2334996795899418</c:v>
                </c:pt>
                <c:pt idx="113">
                  <c:v>6.2178532020745294</c:v>
                </c:pt>
                <c:pt idx="114">
                  <c:v>7.4579136860116195</c:v>
                </c:pt>
                <c:pt idx="115">
                  <c:v>9.0156442917628823</c:v>
                </c:pt>
                <c:pt idx="116">
                  <c:v>10.958066412406611</c:v>
                </c:pt>
                <c:pt idx="117">
                  <c:v>13.347616856453978</c:v>
                </c:pt>
                <c:pt idx="118">
                  <c:v>16.223960533373553</c:v>
                </c:pt>
                <c:pt idx="119">
                  <c:v>19.575947120673664</c:v>
                </c:pt>
                <c:pt idx="120">
                  <c:v>23.307828196167684</c:v>
                </c:pt>
                <c:pt idx="121">
                  <c:v>27.214053825271282</c:v>
                </c:pt>
                <c:pt idx="122">
                  <c:v>30.986900780733194</c:v>
                </c:pt>
                <c:pt idx="123">
                  <c:v>34.276596558528475</c:v>
                </c:pt>
                <c:pt idx="124">
                  <c:v>36.792158672948041</c:v>
                </c:pt>
                <c:pt idx="125">
                  <c:v>38.39023222918302</c:v>
                </c:pt>
                <c:pt idx="126">
                  <c:v>39.096684245893897</c:v>
                </c:pt>
                <c:pt idx="127">
                  <c:v>39.056900218445747</c:v>
                </c:pt>
                <c:pt idx="128">
                  <c:v>38.46050758131635</c:v>
                </c:pt>
                <c:pt idx="129">
                  <c:v>37.485097252816011</c:v>
                </c:pt>
                <c:pt idx="130">
                  <c:v>36.271568447625299</c:v>
                </c:pt>
                <c:pt idx="131">
                  <c:v>34.921603870612003</c:v>
                </c:pt>
                <c:pt idx="132">
                  <c:v>33.504617126955672</c:v>
                </c:pt>
                <c:pt idx="133">
                  <c:v>32.066438859409111</c:v>
                </c:pt>
                <c:pt idx="134">
                  <c:v>30.636667467824097</c:v>
                </c:pt>
                <c:pt idx="135">
                  <c:v>29.234057538037131</c:v>
                </c:pt>
                <c:pt idx="136">
                  <c:v>27.87021546540824</c:v>
                </c:pt>
                <c:pt idx="137">
                  <c:v>26.552055562793822</c:v>
                </c:pt>
                <c:pt idx="138">
                  <c:v>25.283411332764821</c:v>
                </c:pt>
                <c:pt idx="139">
                  <c:v>24.066089725157859</c:v>
                </c:pt>
                <c:pt idx="140">
                  <c:v>22.900563178354759</c:v>
                </c:pt>
                <c:pt idx="141">
                  <c:v>21.78642683772436</c:v>
                </c:pt>
                <c:pt idx="142">
                  <c:v>20.722703061382212</c:v>
                </c:pt>
                <c:pt idx="143">
                  <c:v>19.708045939740948</c:v>
                </c:pt>
                <c:pt idx="144">
                  <c:v>18.740879772275346</c:v>
                </c:pt>
                <c:pt idx="145">
                  <c:v>17.819493489461983</c:v>
                </c:pt>
                <c:pt idx="146">
                  <c:v>16.942105383624103</c:v>
                </c:pt>
                <c:pt idx="147">
                  <c:v>16.106907622958051</c:v>
                </c:pt>
                <c:pt idx="148">
                  <c:v>15.312096862729874</c:v>
                </c:pt>
                <c:pt idx="149">
                  <c:v>14.555895206207445</c:v>
                </c:pt>
                <c:pt idx="150">
                  <c:v>13.836564409884641</c:v>
                </c:pt>
                <c:pt idx="151">
                  <c:v>13.152415323718312</c:v>
                </c:pt>
                <c:pt idx="152">
                  <c:v>12.501813949279471</c:v>
                </c:pt>
                <c:pt idx="153">
                  <c:v>11.883185085738203</c:v>
                </c:pt>
                <c:pt idx="154">
                  <c:v>11.295014250148599</c:v>
                </c:pt>
                <c:pt idx="155">
                  <c:v>10.735848362022276</c:v>
                </c:pt>
                <c:pt idx="156">
                  <c:v>10.204295544683129</c:v>
                </c:pt>
                <c:pt idx="157">
                  <c:v>9.6990242987878599</c:v>
                </c:pt>
                <c:pt idx="158">
                  <c:v>9.2187622342071265</c:v>
                </c:pt>
                <c:pt idx="159">
                  <c:v>8.7622944967494423</c:v>
                </c:pt>
                <c:pt idx="160">
                  <c:v>8.3284619902065966</c:v>
                </c:pt>
                <c:pt idx="161">
                  <c:v>7.9161594679289147</c:v>
                </c:pt>
                <c:pt idx="162">
                  <c:v>7.5243335488354521</c:v>
                </c:pt>
                <c:pt idx="163">
                  <c:v>7.1519806984881935</c:v>
                </c:pt>
                <c:pt idx="164">
                  <c:v>6.7981452052384777</c:v>
                </c:pt>
                <c:pt idx="165">
                  <c:v>6.4619171735099705</c:v>
                </c:pt>
                <c:pt idx="166">
                  <c:v>6.1424305503128407</c:v>
                </c:pt>
                <c:pt idx="167">
                  <c:v>5.8388611965797628</c:v>
                </c:pt>
                <c:pt idx="168">
                  <c:v>5.5504250115051779</c:v>
                </c:pt>
                <c:pt idx="169">
                  <c:v>5.2763761154828073</c:v>
                </c:pt>
                <c:pt idx="170">
                  <c:v>5.016005095271634</c:v>
                </c:pt>
                <c:pt idx="171">
                  <c:v>4.7686373135280054</c:v>
                </c:pt>
                <c:pt idx="172">
                  <c:v>4.5336312837092727</c:v>
                </c:pt>
                <c:pt idx="173">
                  <c:v>4.310377110498421</c:v>
                </c:pt>
                <c:pt idx="174">
                  <c:v>4.0982949952557437</c:v>
                </c:pt>
                <c:pt idx="175">
                  <c:v>3.896833805524436</c:v>
                </c:pt>
                <c:pt idx="176">
                  <c:v>3.7054697072650353</c:v>
                </c:pt>
                <c:pt idx="177">
                  <c:v>3.5237048582405368</c:v>
                </c:pt>
                <c:pt idx="178">
                  <c:v>3.3510661607979459</c:v>
                </c:pt>
                <c:pt idx="179">
                  <c:v>3.1871040721760524</c:v>
                </c:pt>
                <c:pt idx="180">
                  <c:v>3.0313914704002647</c:v>
                </c:pt>
                <c:pt idx="181">
                  <c:v>2.883522573793257</c:v>
                </c:pt>
                <c:pt idx="182">
                  <c:v>2.7431119121270333</c:v>
                </c:pt>
                <c:pt idx="183">
                  <c:v>2.6097933474617259</c:v>
                </c:pt>
                <c:pt idx="184">
                  <c:v>2.4832191427542423</c:v>
                </c:pt>
                <c:pt idx="185">
                  <c:v>2.3630590763721586</c:v>
                </c:pt>
                <c:pt idx="186">
                  <c:v>2.2489996007122741</c:v>
                </c:pt>
                <c:pt idx="187">
                  <c:v>2.1407430431969963</c:v>
                </c:pt>
                <c:pt idx="188">
                  <c:v>2.038006848003775</c:v>
                </c:pt>
                <c:pt idx="189">
                  <c:v>1.9405228569722712</c:v>
                </c:pt>
                <c:pt idx="190">
                  <c:v>1.8480366282303617</c:v>
                </c:pt>
                <c:pt idx="191">
                  <c:v>1.7603067911834063</c:v>
                </c:pt>
                <c:pt idx="192">
                  <c:v>1.6771044366217869</c:v>
                </c:pt>
                <c:pt idx="193">
                  <c:v>1.5982125408203081</c:v>
                </c:pt>
                <c:pt idx="194">
                  <c:v>1.5234254226307733</c:v>
                </c:pt>
                <c:pt idx="195">
                  <c:v>1.4525482327075316</c:v>
                </c:pt>
                <c:pt idx="196">
                  <c:v>1.3853964741571254</c:v>
                </c:pt>
                <c:pt idx="197">
                  <c:v>1.3217955540700752</c:v>
                </c:pt>
                <c:pt idx="198">
                  <c:v>1.2615803655787348</c:v>
                </c:pt>
                <c:pt idx="199">
                  <c:v>1.204594900294315</c:v>
                </c:pt>
                <c:pt idx="200">
                  <c:v>1.1506918912139734</c:v>
                </c:pt>
                <c:pt idx="201">
                  <c:v>1.0997324864619626</c:v>
                </c:pt>
                <c:pt idx="202">
                  <c:v>1.0515859545455779</c:v>
                </c:pt>
                <c:pt idx="203">
                  <c:v>1.0061294221774781</c:v>
                </c:pt>
                <c:pt idx="204">
                  <c:v>0.96324764615399217</c:v>
                </c:pt>
                <c:pt idx="205">
                  <c:v>0.92283282130077271</c:v>
                </c:pt>
                <c:pt idx="206">
                  <c:v>0.88478442712353156</c:v>
                </c:pt>
                <c:pt idx="207">
                  <c:v>0.84900911655909306</c:v>
                </c:pt>
                <c:pt idx="208">
                  <c:v>0.81542065114449014</c:v>
                </c:pt>
                <c:pt idx="209">
                  <c:v>0.78393988805263859</c:v>
                </c:pt>
                <c:pt idx="210">
                  <c:v>0.75449482583805461</c:v>
                </c:pt>
                <c:pt idx="211">
                  <c:v>0.72702071746727071</c:v>
                </c:pt>
                <c:pt idx="212">
                  <c:v>0.70146026136981843</c:v>
                </c:pt>
                <c:pt idx="213">
                  <c:v>0.6777638839593273</c:v>
                </c:pt>
                <c:pt idx="214">
                  <c:v>0.65589013050120926</c:v>
                </c:pt>
                <c:pt idx="215">
                  <c:v>0.63580618555574198</c:v>
                </c:pt>
                <c:pt idx="216">
                  <c:v>0.61748854978473422</c:v>
                </c:pt>
                <c:pt idx="217">
                  <c:v>0.60092390705219934</c:v>
                </c:pt>
                <c:pt idx="218">
                  <c:v>0.58611022497910659</c:v>
                </c:pt>
                <c:pt idx="219">
                  <c:v>0.57305814411069567</c:v>
                </c:pt>
                <c:pt idx="220">
                  <c:v>0.56179272654785495</c:v>
                </c:pt>
                <c:pt idx="221">
                  <c:v>0.55235565554768318</c:v>
                </c:pt>
                <c:pt idx="222">
                  <c:v>0.54480800495499992</c:v>
                </c:pt>
                <c:pt idx="223">
                  <c:v>0.53923373380040385</c:v>
                </c:pt>
                <c:pt idx="224">
                  <c:v>0.53574411035923086</c:v>
                </c:pt>
                <c:pt idx="225">
                  <c:v>0.53448333614025978</c:v>
                </c:pt>
                <c:pt idx="226">
                  <c:v>0.53563573035613921</c:v>
                </c:pt>
                <c:pt idx="227">
                  <c:v>0.53943495895645754</c:v>
                </c:pt>
                <c:pt idx="228">
                  <c:v>0.54617596296851423</c:v>
                </c:pt>
                <c:pt idx="229">
                  <c:v>0.55623047848333917</c:v>
                </c:pt>
                <c:pt idx="230">
                  <c:v>0.57006737397223117</c:v>
                </c:pt>
                <c:pt idx="231">
                  <c:v>0.58827950200589274</c:v>
                </c:pt>
                <c:pt idx="232">
                  <c:v>0.61161943432481347</c:v>
                </c:pt>
                <c:pt idx="233">
                  <c:v>0.64104741440907409</c:v>
                </c:pt>
                <c:pt idx="234">
                  <c:v>0.67779625901745166</c:v>
                </c:pt>
                <c:pt idx="235">
                  <c:v>0.72345997813355767</c:v>
                </c:pt>
                <c:pt idx="236">
                  <c:v>0.78011587568276075</c:v>
                </c:pt>
                <c:pt idx="237">
                  <c:v>0.85049431554142296</c:v>
                </c:pt>
                <c:pt idx="238">
                  <c:v>0.93821690271650837</c:v>
                </c:pt>
                <c:pt idx="239">
                  <c:v>1.0481336046992857</c:v>
                </c:pt>
                <c:pt idx="240">
                  <c:v>1.1868038902329063</c:v>
                </c:pt>
                <c:pt idx="241">
                  <c:v>1.363188523134536</c:v>
                </c:pt>
                <c:pt idx="242">
                  <c:v>1.5896502013077929</c:v>
                </c:pt>
                <c:pt idx="243">
                  <c:v>1.883406256936659</c:v>
                </c:pt>
                <c:pt idx="244">
                  <c:v>2.2686377846064061</c:v>
                </c:pt>
                <c:pt idx="245">
                  <c:v>2.7795344576831287</c:v>
                </c:pt>
                <c:pt idx="246">
                  <c:v>3.4646242289557305</c:v>
                </c:pt>
                <c:pt idx="247">
                  <c:v>4.392739631377192</c:v>
                </c:pt>
                <c:pt idx="248">
                  <c:v>5.6607403883887955</c:v>
                </c:pt>
                <c:pt idx="249">
                  <c:v>7.4022544508017942</c:v>
                </c:pt>
                <c:pt idx="250">
                  <c:v>9.7944189466220433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BC-4CF3-9CD4-D5C53B1A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617816"/>
        <c:axId val="425617424"/>
      </c:scatterChart>
      <c:valAx>
        <c:axId val="42561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7424"/>
        <c:crosses val="autoZero"/>
        <c:crossBetween val="midCat"/>
      </c:valAx>
      <c:valAx>
        <c:axId val="42561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Predators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617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268949</xdr:colOff>
      <xdr:row>28</xdr:row>
      <xdr:rowOff>62754</xdr:rowOff>
    </xdr:from>
    <xdr:to>
      <xdr:col>13</xdr:col>
      <xdr:colOff>26899</xdr:colOff>
      <xdr:row>43</xdr:row>
      <xdr:rowOff>35860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A820B-BE9B-4236-9FF3-866946CFB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277907</xdr:colOff>
      <xdr:row>10</xdr:row>
      <xdr:rowOff>135812</xdr:rowOff>
    </xdr:from>
    <xdr:to>
      <xdr:col>13</xdr:col>
      <xdr:colOff>0</xdr:colOff>
      <xdr:row>26</xdr:row>
      <xdr:rowOff>28235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FA466-6AAC-45AF-8A94-8F9AAF252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351692</xdr:colOff>
      <xdr:row>1</xdr:row>
      <xdr:rowOff>131885</xdr:rowOff>
    </xdr:from>
    <xdr:ext cx="2593731" cy="5843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C3EB670-A335-33D2-30CC-F6047303744E}"/>
                </a:ext>
              </a:extLst>
            </xdr:cNvPr>
            <xdr:cNvSpPr txBox="1"/>
          </xdr:nvSpPr>
          <xdr:spPr>
            <a:xfrm>
              <a:off x="7810500" y="322385"/>
              <a:ext cx="2593731" cy="58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n-US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IN" sz="20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C3EB670-A335-33D2-30CC-F6047303744E}"/>
                </a:ext>
              </a:extLst>
            </xdr:cNvPr>
            <xdr:cNvSpPr txBox="1"/>
          </xdr:nvSpPr>
          <xdr:spPr>
            <a:xfrm>
              <a:off x="7810500" y="322385"/>
              <a:ext cx="2593731" cy="58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(𝑑𝑦_1)/𝑑𝑡=𝑦_1 (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𝛼_1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−𝛽_1 𝑦_2 )</a:t>
              </a:r>
              <a:endParaRPr lang="en-IN" sz="2000"/>
            </a:p>
          </xdr:txBody>
        </xdr:sp>
      </mc:Fallback>
    </mc:AlternateContent>
    <xdr:clientData/>
  </xdr:oneCellAnchor>
  <xdr:oneCellAnchor>
    <xdr:from>
      <xdr:col>12</xdr:col>
      <xdr:colOff>446997</xdr:colOff>
      <xdr:row>5</xdr:row>
      <xdr:rowOff>43668</xdr:rowOff>
    </xdr:from>
    <xdr:ext cx="2548070" cy="5843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E72BE52-9B94-4C85-928B-EA9ED4C9460F}"/>
                </a:ext>
              </a:extLst>
            </xdr:cNvPr>
            <xdr:cNvSpPr txBox="1"/>
          </xdr:nvSpPr>
          <xdr:spPr>
            <a:xfrm>
              <a:off x="7905805" y="988841"/>
              <a:ext cx="2548070" cy="58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r>
                          <a:rPr lang="en-US" sz="20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sSub>
                          <m:sSub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IN" sz="20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E72BE52-9B94-4C85-928B-EA9ED4C9460F}"/>
                </a:ext>
              </a:extLst>
            </xdr:cNvPr>
            <xdr:cNvSpPr txBox="1"/>
          </xdr:nvSpPr>
          <xdr:spPr>
            <a:xfrm>
              <a:off x="7905805" y="988841"/>
              <a:ext cx="2548070" cy="58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(𝑑𝑦_2)/𝑑𝑡=𝑦_2 (−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𝛼_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2+𝛽_2 𝑦_1 )</a:t>
              </a:r>
              <a:endParaRPr lang="en-IN" sz="20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15A2-03D8-4ECB-92A8-02777E974AA1}">
  <dimension ref="B1:L254"/>
  <sheetViews>
    <sheetView tabSelected="1" zoomScale="91" zoomScaleNormal="85" workbookViewId="0">
      <selection activeCell="F264" sqref="F264"/>
    </sheetView>
  </sheetViews>
  <sheetFormatPr defaultRowHeight="13.8" x14ac:dyDescent="0.25"/>
  <cols>
    <col min="1" max="1" width="8.88671875" style="10"/>
    <col min="2" max="2" width="9.77734375" style="10" customWidth="1"/>
    <col min="3" max="3" width="10.21875" style="10" customWidth="1"/>
    <col min="4" max="7" width="8.88671875" style="10"/>
    <col min="8" max="8" width="11.33203125" style="10" customWidth="1"/>
    <col min="9" max="9" width="17.21875" style="10" customWidth="1"/>
    <col min="10" max="10" width="8.88671875" style="10"/>
    <col min="11" max="11" width="19.77734375" style="10" customWidth="1"/>
    <col min="12" max="16384" width="8.88671875" style="10"/>
  </cols>
  <sheetData>
    <row r="1" spans="2:12" ht="15" customHeight="1" x14ac:dyDescent="0.25">
      <c r="B1" s="1" t="s">
        <v>2</v>
      </c>
      <c r="C1" s="1"/>
      <c r="D1" s="1"/>
      <c r="E1" s="1"/>
      <c r="F1" s="1"/>
      <c r="H1" s="2" t="s">
        <v>3</v>
      </c>
      <c r="I1" s="2"/>
      <c r="J1" s="2"/>
      <c r="K1" s="2"/>
      <c r="L1" s="2"/>
    </row>
    <row r="2" spans="2:12" ht="14.4" customHeight="1" thickBot="1" x14ac:dyDescent="0.3">
      <c r="B2" s="1"/>
      <c r="C2" s="1"/>
      <c r="D2" s="1"/>
      <c r="E2" s="1"/>
      <c r="F2" s="1"/>
      <c r="H2" s="3"/>
      <c r="I2" s="3"/>
      <c r="J2" s="3"/>
      <c r="K2" s="3"/>
      <c r="L2" s="3"/>
    </row>
    <row r="3" spans="2:12" ht="15" x14ac:dyDescent="0.3">
      <c r="B3" s="11" t="s">
        <v>6</v>
      </c>
      <c r="C3" s="12" t="s">
        <v>7</v>
      </c>
      <c r="D3" s="12" t="s">
        <v>8</v>
      </c>
      <c r="E3" s="12" t="s">
        <v>9</v>
      </c>
      <c r="F3" s="13" t="s">
        <v>0</v>
      </c>
      <c r="H3" s="4" t="s">
        <v>10</v>
      </c>
      <c r="I3" s="5" t="s">
        <v>11</v>
      </c>
      <c r="J3" s="5" t="s">
        <v>12</v>
      </c>
      <c r="K3" s="5" t="s">
        <v>13</v>
      </c>
      <c r="L3" s="6" t="s">
        <v>1</v>
      </c>
    </row>
    <row r="4" spans="2:12" ht="14.4" thickBot="1" x14ac:dyDescent="0.3">
      <c r="B4" s="14">
        <f>H10</f>
        <v>100</v>
      </c>
      <c r="C4" s="10">
        <f>I10</f>
        <v>10</v>
      </c>
      <c r="D4" s="10">
        <f>B4*($H$4-$I$4*C4)</f>
        <v>0</v>
      </c>
      <c r="E4" s="10">
        <f>C4*(-$J$4+$K$4*B4)</f>
        <v>15</v>
      </c>
      <c r="F4" s="15">
        <v>0</v>
      </c>
      <c r="H4" s="16">
        <v>1</v>
      </c>
      <c r="I4" s="20">
        <v>0.1</v>
      </c>
      <c r="J4" s="20">
        <v>0.5</v>
      </c>
      <c r="K4" s="20">
        <v>0.02</v>
      </c>
      <c r="L4" s="9">
        <v>0.1</v>
      </c>
    </row>
    <row r="5" spans="2:12" x14ac:dyDescent="0.25">
      <c r="B5" s="14">
        <f>B4+D4*$L$4</f>
        <v>100</v>
      </c>
      <c r="C5" s="10">
        <f>C4+E4*$L$4</f>
        <v>11.5</v>
      </c>
      <c r="D5" s="10">
        <f>B5*($H$4-$I$4*C5)</f>
        <v>-15.000000000000014</v>
      </c>
      <c r="E5" s="10">
        <f>C5*(-$J$4+$K$4*B5)</f>
        <v>17.25</v>
      </c>
      <c r="F5" s="15">
        <f>F4+$L$4</f>
        <v>0.1</v>
      </c>
      <c r="H5" s="18" t="s">
        <v>17</v>
      </c>
      <c r="I5" s="18" t="s">
        <v>16</v>
      </c>
      <c r="J5" s="18" t="s">
        <v>18</v>
      </c>
      <c r="K5" s="18" t="s">
        <v>19</v>
      </c>
    </row>
    <row r="6" spans="2:12" x14ac:dyDescent="0.25">
      <c r="B6" s="14">
        <f>B5+D5*$L$4</f>
        <v>98.5</v>
      </c>
      <c r="C6" s="10">
        <f>C5+E5*$L$4</f>
        <v>13.225</v>
      </c>
      <c r="D6" s="10">
        <f>B6*($H$4-$I$4*C6)</f>
        <v>-31.766249999999999</v>
      </c>
      <c r="E6" s="10">
        <f>C6*(-$J$4+$K$4*B6)</f>
        <v>19.440749999999998</v>
      </c>
      <c r="F6" s="15">
        <f>F5+$L$4</f>
        <v>0.2</v>
      </c>
      <c r="H6" s="19"/>
      <c r="I6" s="19"/>
      <c r="J6" s="19"/>
      <c r="K6" s="19"/>
    </row>
    <row r="7" spans="2:12" x14ac:dyDescent="0.25">
      <c r="B7" s="14">
        <f>B6+D6*$L$4</f>
        <v>95.323374999999999</v>
      </c>
      <c r="C7" s="10">
        <f>C6+E6*$L$4</f>
        <v>15.169074999999999</v>
      </c>
      <c r="D7" s="10">
        <f>B7*($H$4-$I$4*C7)</f>
        <v>-49.273367462812509</v>
      </c>
      <c r="E7" s="10">
        <f>C7*(-$J$4+$K$4*B7)</f>
        <v>21.334810992562499</v>
      </c>
      <c r="F7" s="15">
        <f>F6+$L$4</f>
        <v>0.30000000000000004</v>
      </c>
      <c r="H7" s="2" t="s">
        <v>4</v>
      </c>
      <c r="I7" s="2"/>
      <c r="K7" s="2" t="s">
        <v>5</v>
      </c>
      <c r="L7" s="2"/>
    </row>
    <row r="8" spans="2:12" ht="14.4" thickBot="1" x14ac:dyDescent="0.3">
      <c r="B8" s="14">
        <f>B7+D7*$L$4</f>
        <v>90.396038253718743</v>
      </c>
      <c r="C8" s="10">
        <f>C7+E7*$L$4</f>
        <v>17.30255609925625</v>
      </c>
      <c r="D8" s="10">
        <f>B8*($H$4-$I$4*C8)</f>
        <v>-66.012214049829524</v>
      </c>
      <c r="E8" s="10">
        <f>C8*(-$J$4+$K$4*B8)</f>
        <v>22.630372411081527</v>
      </c>
      <c r="F8" s="15">
        <f>F7+$L$4</f>
        <v>0.4</v>
      </c>
      <c r="H8" s="3"/>
      <c r="I8" s="3"/>
      <c r="K8" s="3"/>
      <c r="L8" s="3"/>
    </row>
    <row r="9" spans="2:12" ht="15" x14ac:dyDescent="0.3">
      <c r="B9" s="14">
        <f>B8+D8*$L$4</f>
        <v>83.794816848735792</v>
      </c>
      <c r="C9" s="10">
        <f>C8+E8*$L$4</f>
        <v>19.565593340364401</v>
      </c>
      <c r="D9" s="10">
        <f>B9*($H$4-$I$4*C9)</f>
        <v>-80.154714200532183</v>
      </c>
      <c r="E9" s="10">
        <f>C9*(-$J$4+$K$4*B9)</f>
        <v>23.007109539671397</v>
      </c>
      <c r="F9" s="15">
        <f>F8+$L$4</f>
        <v>0.5</v>
      </c>
      <c r="H9" s="4" t="s">
        <v>14</v>
      </c>
      <c r="I9" s="6" t="s">
        <v>15</v>
      </c>
      <c r="K9" s="4" t="s">
        <v>6</v>
      </c>
      <c r="L9" s="6" t="s">
        <v>7</v>
      </c>
    </row>
    <row r="10" spans="2:12" ht="14.4" thickBot="1" x14ac:dyDescent="0.3">
      <c r="B10" s="14">
        <f>B9+D9*$L$4</f>
        <v>75.779345428682575</v>
      </c>
      <c r="C10" s="10">
        <f>C9+E9*$L$4</f>
        <v>21.866304294331542</v>
      </c>
      <c r="D10" s="10">
        <f>B10*($H$4-$I$4*C10)</f>
        <v>-89.922077208200946</v>
      </c>
      <c r="E10" s="10">
        <f>C10*(-$J$4+$K$4*B10)</f>
        <v>22.207132380210933</v>
      </c>
      <c r="F10" s="15">
        <f>F9+$L$4</f>
        <v>0.6</v>
      </c>
      <c r="H10" s="16">
        <v>100</v>
      </c>
      <c r="I10" s="17">
        <v>10</v>
      </c>
      <c r="K10" s="16">
        <f>J4/K4</f>
        <v>25</v>
      </c>
      <c r="L10" s="17">
        <f>H4/I4</f>
        <v>10</v>
      </c>
    </row>
    <row r="11" spans="2:12" x14ac:dyDescent="0.25">
      <c r="B11" s="14">
        <f>B10+D10*$L$4</f>
        <v>66.787137707862485</v>
      </c>
      <c r="C11" s="10">
        <f>C10+E10*$L$4</f>
        <v>24.087017532352636</v>
      </c>
      <c r="D11" s="10">
        <f>B11*($H$4-$I$4*C11)</f>
        <v>-94.08315798263088</v>
      </c>
      <c r="E11" s="10">
        <f>C11*(-$J$4+$K$4*B11)</f>
        <v>20.130550371922354</v>
      </c>
      <c r="F11" s="15">
        <f>F10+$L$4</f>
        <v>0.7</v>
      </c>
    </row>
    <row r="12" spans="2:12" x14ac:dyDescent="0.25">
      <c r="B12" s="14">
        <f>B11+D11*$L$4</f>
        <v>57.378821909599395</v>
      </c>
      <c r="C12" s="10">
        <f>C11+E11*$L$4</f>
        <v>26.100072569544871</v>
      </c>
      <c r="D12" s="10">
        <f>B12*($H$4-$I$4*C12)</f>
        <v>-92.380319669954162</v>
      </c>
      <c r="E12" s="10">
        <f>C12*(-$J$4+$K$4*B12)</f>
        <v>16.901792031138275</v>
      </c>
      <c r="F12" s="15">
        <f>F11+$L$4</f>
        <v>0.79999999999999993</v>
      </c>
    </row>
    <row r="13" spans="2:12" x14ac:dyDescent="0.25">
      <c r="B13" s="14">
        <f>B12+D12*$L$4</f>
        <v>48.14078994260398</v>
      </c>
      <c r="C13" s="10">
        <f>C12+E12*$L$4</f>
        <v>27.790251772658699</v>
      </c>
      <c r="D13" s="10">
        <f>B13*($H$4-$I$4*C13)</f>
        <v>-85.643677361360076</v>
      </c>
      <c r="E13" s="10">
        <f>C13*(-$J$4+$K$4*B13)</f>
        <v>12.86176757446346</v>
      </c>
      <c r="F13" s="15">
        <f>F12+$L$4</f>
        <v>0.89999999999999991</v>
      </c>
    </row>
    <row r="14" spans="2:12" x14ac:dyDescent="0.25">
      <c r="B14" s="14">
        <f>B13+D13*$L$4</f>
        <v>39.576422206467974</v>
      </c>
      <c r="C14" s="10">
        <f>C13+E13*$L$4</f>
        <v>29.076428530105044</v>
      </c>
      <c r="D14" s="10">
        <f>B14*($H$4-$I$4*C14)</f>
        <v>-75.497678969894849</v>
      </c>
      <c r="E14" s="10">
        <f>C14*(-$J$4+$K$4*B14)</f>
        <v>8.476605970220044</v>
      </c>
      <c r="F14" s="15">
        <f>F13+$L$4</f>
        <v>0.99999999999999989</v>
      </c>
    </row>
    <row r="15" spans="2:12" x14ac:dyDescent="0.25">
      <c r="B15" s="14">
        <f>B14+D14*$L$4</f>
        <v>32.026654309478488</v>
      </c>
      <c r="C15" s="10">
        <f>C14+E14*$L$4</f>
        <v>29.924089127127047</v>
      </c>
      <c r="D15" s="10">
        <f>B15*($H$4-$I$4*C15)</f>
        <v>-63.810191490573693</v>
      </c>
      <c r="E15" s="10">
        <f>C15*(-$J$4+$K$4*B15)</f>
        <v>4.2053245964469115</v>
      </c>
      <c r="F15" s="15">
        <f>F14+$L$4</f>
        <v>1.0999999999999999</v>
      </c>
    </row>
    <row r="16" spans="2:12" x14ac:dyDescent="0.25">
      <c r="B16" s="14">
        <f>B15+D15*$L$4</f>
        <v>25.645635160421119</v>
      </c>
      <c r="C16" s="10">
        <f>C15+E15*$L$4</f>
        <v>30.344621586771737</v>
      </c>
      <c r="D16" s="10">
        <f>B16*($H$4-$I$4*C16)</f>
        <v>-52.175074269117587</v>
      </c>
      <c r="E16" s="10">
        <f>C16*(-$J$4+$K$4*B16)</f>
        <v>0.39183109252187148</v>
      </c>
      <c r="F16" s="15">
        <f>F15+$L$4</f>
        <v>1.2</v>
      </c>
    </row>
    <row r="17" spans="2:6" x14ac:dyDescent="0.25">
      <c r="B17" s="14">
        <f>B16+D16*$L$4</f>
        <v>20.42812773350936</v>
      </c>
      <c r="C17" s="10">
        <f>C16+E16*$L$4</f>
        <v>30.383804696023923</v>
      </c>
      <c r="D17" s="10">
        <f>B17*($H$4-$I$4*C17)</f>
        <v>-41.640296602528466</v>
      </c>
      <c r="E17" s="10">
        <f>C17*(-$J$4+$K$4*B17)</f>
        <v>-2.7782174808043965</v>
      </c>
      <c r="F17" s="15">
        <f>F16+$L$4</f>
        <v>1.3</v>
      </c>
    </row>
    <row r="18" spans="2:6" x14ac:dyDescent="0.25">
      <c r="B18" s="14">
        <f>B17+D17*$L$4</f>
        <v>16.264098073256513</v>
      </c>
      <c r="C18" s="10">
        <f>C17+E17*$L$4</f>
        <v>30.105982947943485</v>
      </c>
      <c r="D18" s="10">
        <f>B18*($H$4-$I$4*C18)</f>
        <v>-32.700567852457596</v>
      </c>
      <c r="E18" s="10">
        <f>C18*(-$J$4+$K$4*B18)</f>
        <v>-5.2600582888289207</v>
      </c>
      <c r="F18" s="15">
        <f>F17+$L$4</f>
        <v>1.4000000000000001</v>
      </c>
    </row>
    <row r="19" spans="2:6" x14ac:dyDescent="0.25">
      <c r="B19" s="14">
        <f>B18+D18*$L$4</f>
        <v>12.994041288010752</v>
      </c>
      <c r="C19" s="10">
        <f>C18+E18*$L$4</f>
        <v>29.579977119060594</v>
      </c>
      <c r="D19" s="10">
        <f>B19*($H$4-$I$4*C19)</f>
        <v>-25.442303110337921</v>
      </c>
      <c r="E19" s="10">
        <f>C19*(-$J$4+$K$4*B19)</f>
        <v>-7.102719679860563</v>
      </c>
      <c r="F19" s="15">
        <f>F18+$L$4</f>
        <v>1.5000000000000002</v>
      </c>
    </row>
    <row r="20" spans="2:6" x14ac:dyDescent="0.25">
      <c r="B20" s="14">
        <f>B19+D19*$L$4</f>
        <v>10.449810976976959</v>
      </c>
      <c r="C20" s="10">
        <f>C19+E19*$L$4</f>
        <v>28.869705151074537</v>
      </c>
      <c r="D20" s="10">
        <f>B20*($H$4-$I$4*C20)</f>
        <v>-19.718485202001737</v>
      </c>
      <c r="E20" s="10">
        <f>C20*(-$J$4+$K$4*B20)</f>
        <v>-8.4011933397415302</v>
      </c>
      <c r="F20" s="15">
        <f>F19+$L$4</f>
        <v>1.6000000000000003</v>
      </c>
    </row>
    <row r="21" spans="2:6" x14ac:dyDescent="0.25">
      <c r="B21" s="14">
        <f>B20+D20*$L$4</f>
        <v>8.4779624567767851</v>
      </c>
      <c r="C21" s="10">
        <f>C20+E20*$L$4</f>
        <v>28.029585817100383</v>
      </c>
      <c r="D21" s="10">
        <f>B21*($H$4-$I$4*C21)</f>
        <v>-15.285415166861227</v>
      </c>
      <c r="E21" s="10">
        <f>C21*(-$J$4+$K$4*B21)</f>
        <v>-9.2621173838225896</v>
      </c>
      <c r="F21" s="15">
        <f>F20+$L$4</f>
        <v>1.7000000000000004</v>
      </c>
    </row>
    <row r="22" spans="2:6" x14ac:dyDescent="0.25">
      <c r="B22" s="14">
        <f>B21+D21*$L$4</f>
        <v>6.9494209400906621</v>
      </c>
      <c r="C22" s="10">
        <f>C21+E21*$L$4</f>
        <v>27.103374078718122</v>
      </c>
      <c r="D22" s="10">
        <f>B22*($H$4-$I$4*C22)</f>
        <v>-11.885854596884757</v>
      </c>
      <c r="E22" s="10">
        <f>C22*(-$J$4+$K$4*B22)</f>
        <v>-9.7846319319639772</v>
      </c>
      <c r="F22" s="15">
        <f>F21+$L$4</f>
        <v>1.8000000000000005</v>
      </c>
    </row>
    <row r="23" spans="2:6" x14ac:dyDescent="0.25">
      <c r="B23" s="14">
        <f>B22+D22*$L$4</f>
        <v>5.7608354804021866</v>
      </c>
      <c r="C23" s="10">
        <f>C22+E22*$L$4</f>
        <v>26.124910885521725</v>
      </c>
      <c r="D23" s="10">
        <f>B23*($H$4-$I$4*C23)</f>
        <v>-9.2892958747637007</v>
      </c>
      <c r="E23" s="10">
        <f>C23*(-$J$4+$K$4*B23)</f>
        <v>-10.052429171727685</v>
      </c>
      <c r="F23" s="15">
        <f>F22+$L$4</f>
        <v>1.9000000000000006</v>
      </c>
    </row>
    <row r="24" spans="2:6" x14ac:dyDescent="0.25">
      <c r="B24" s="14">
        <f>B23+D23*$L$4</f>
        <v>4.8319058929258167</v>
      </c>
      <c r="C24" s="10">
        <f>C23+E23*$L$4</f>
        <v>25.119667968348956</v>
      </c>
      <c r="D24" s="10">
        <f>B24*($H$4-$I$4*C24)</f>
        <v>-7.3056812755347051</v>
      </c>
      <c r="E24" s="10">
        <f>C24*(-$J$4+$K$4*B24)</f>
        <v>-10.132316550482374</v>
      </c>
      <c r="F24" s="15">
        <f>F23+$L$4</f>
        <v>2.0000000000000004</v>
      </c>
    </row>
    <row r="25" spans="2:6" x14ac:dyDescent="0.25">
      <c r="B25" s="14">
        <f>B24+D24*$L$4</f>
        <v>4.101337765372346</v>
      </c>
      <c r="C25" s="10">
        <f>C24+E24*$L$4</f>
        <v>24.106436313300719</v>
      </c>
      <c r="D25" s="10">
        <f>B25*($H$4-$I$4*C25)</f>
        <v>-5.7855259986560092</v>
      </c>
      <c r="E25" s="10">
        <f>C25*(-$J$4+$K$4*B25)</f>
        <v>-10.075845403844689</v>
      </c>
      <c r="F25" s="15">
        <f>F24+$L$4</f>
        <v>2.1000000000000005</v>
      </c>
    </row>
    <row r="26" spans="2:6" x14ac:dyDescent="0.25">
      <c r="B26" s="14">
        <f>B25+D25*$L$4</f>
        <v>3.522785165506745</v>
      </c>
      <c r="C26" s="10">
        <f>C25+E25*$L$4</f>
        <v>23.098851772916252</v>
      </c>
      <c r="D26" s="10">
        <f>B26*($H$4-$I$4*C26)</f>
        <v>-4.6144440710801105</v>
      </c>
      <c r="E26" s="10">
        <f>C26*(-$J$4+$K$4*B26)</f>
        <v>-9.9219800391407542</v>
      </c>
      <c r="F26" s="15">
        <f>F25+$L$4</f>
        <v>2.2000000000000006</v>
      </c>
    </row>
    <row r="27" spans="2:6" x14ac:dyDescent="0.25">
      <c r="B27" s="14">
        <f>B26+D26*$L$4</f>
        <v>3.061340758398734</v>
      </c>
      <c r="C27" s="10">
        <f>C26+E26*$L$4</f>
        <v>22.106653769002175</v>
      </c>
      <c r="D27" s="10">
        <f>B27*($H$4-$I$4*C27)</f>
        <v>-3.7062592630868019</v>
      </c>
      <c r="E27" s="10">
        <f>C27*(-$J$4+$K$4*B27)</f>
        <v>-9.6998068802039814</v>
      </c>
      <c r="F27" s="15">
        <f>F26+$L$4</f>
        <v>2.3000000000000007</v>
      </c>
    </row>
    <row r="28" spans="2:6" x14ac:dyDescent="0.25">
      <c r="B28" s="14">
        <f>B27+D27*$L$4</f>
        <v>2.6907148320900536</v>
      </c>
      <c r="C28" s="10">
        <f>C27+E27*$L$4</f>
        <v>21.136673080981776</v>
      </c>
      <c r="D28" s="10">
        <f>B28*($H$4-$I$4*C28)</f>
        <v>-2.9965611439135698</v>
      </c>
      <c r="E28" s="10">
        <f>C28*(-$J$4+$K$4*B28)</f>
        <v>-9.4308813452901621</v>
      </c>
      <c r="F28" s="15">
        <f>F27+$L$4</f>
        <v>2.4000000000000008</v>
      </c>
    </row>
    <row r="29" spans="2:6" x14ac:dyDescent="0.25">
      <c r="B29" s="14">
        <f>B28+D28*$L$4</f>
        <v>2.3910587176986966</v>
      </c>
      <c r="C29" s="10">
        <f>C28+E28*$L$4</f>
        <v>20.193584946452759</v>
      </c>
      <c r="D29" s="10">
        <f>B29*($H$4-$I$4*C29)</f>
        <v>-2.4373460150818071</v>
      </c>
      <c r="E29" s="10">
        <f>C29*(-$J$4+$K$4*B29)</f>
        <v>-9.1311115266702796</v>
      </c>
      <c r="F29" s="15">
        <f>F28+$L$4</f>
        <v>2.5000000000000009</v>
      </c>
    </row>
    <row r="30" spans="2:6" x14ac:dyDescent="0.25">
      <c r="B30" s="14">
        <f>B29+D29*$L$4</f>
        <v>2.1473241161905161</v>
      </c>
      <c r="C30" s="10">
        <f>C29+E29*$L$4</f>
        <v>19.280473793785731</v>
      </c>
      <c r="D30" s="10">
        <f>B30*($H$4-$I$4*C30)</f>
        <v>-1.9928185187070195</v>
      </c>
      <c r="E30" s="10">
        <f>C30*(-$J$4+$K$4*B30)</f>
        <v>-8.8122083699133587</v>
      </c>
      <c r="F30" s="15">
        <f>F29+$L$4</f>
        <v>2.600000000000001</v>
      </c>
    </row>
    <row r="31" spans="2:6" x14ac:dyDescent="0.25">
      <c r="B31" s="14">
        <f>B30+D30*$L$4</f>
        <v>1.9480422643198141</v>
      </c>
      <c r="C31" s="10">
        <f>C30+E30*$L$4</f>
        <v>18.399252956794395</v>
      </c>
      <c r="D31" s="10">
        <f>B31*($H$4-$I$4*C31)</f>
        <v>-1.6362099748548649</v>
      </c>
      <c r="E31" s="10">
        <f>C31*(-$J$4+$K$4*B31)</f>
        <v>-8.4827760305622615</v>
      </c>
      <c r="F31" s="15">
        <f>F30+$L$4</f>
        <v>2.7000000000000011</v>
      </c>
    </row>
    <row r="32" spans="2:6" x14ac:dyDescent="0.25">
      <c r="B32" s="14">
        <f>B31+D31*$L$4</f>
        <v>1.7844212668343276</v>
      </c>
      <c r="C32" s="10">
        <f>C31+E31*$L$4</f>
        <v>17.550975353738171</v>
      </c>
      <c r="D32" s="10">
        <f>B32*($H$4-$I$4*C32)</f>
        <v>-1.3474121006552253</v>
      </c>
      <c r="E32" s="10">
        <f>C32*(-$J$4+$K$4*B32)</f>
        <v>-8.1491210033711745</v>
      </c>
      <c r="F32" s="15">
        <f>F31+$L$4</f>
        <v>2.8000000000000012</v>
      </c>
    </row>
    <row r="33" spans="2:6" ht="15" customHeight="1" x14ac:dyDescent="0.25">
      <c r="B33" s="14">
        <f>B32+D32*$L$4</f>
        <v>1.649680056768805</v>
      </c>
      <c r="C33" s="10">
        <f>C32+E32*$L$4</f>
        <v>16.736063253401053</v>
      </c>
      <c r="D33" s="10">
        <f>B33*($H$4-$I$4*C33)</f>
        <v>-1.1112349210268913</v>
      </c>
      <c r="E33" s="10">
        <f>C33*(-$J$4+$K$4*B33)</f>
        <v>-7.8158486311413871</v>
      </c>
      <c r="F33" s="15">
        <f>F32+$L$4</f>
        <v>2.9000000000000012</v>
      </c>
    </row>
    <row r="34" spans="2:6" ht="15" customHeight="1" x14ac:dyDescent="0.25">
      <c r="B34" s="14">
        <f>B33+D33*$L$4</f>
        <v>1.5385565646661159</v>
      </c>
      <c r="C34" s="10">
        <f>C33+E33*$L$4</f>
        <v>15.954478390286914</v>
      </c>
      <c r="D34" s="10">
        <f>B34*($H$4-$I$4*C34)</f>
        <v>-0.91613018165384597</v>
      </c>
      <c r="E34" s="10">
        <f>C34*(-$J$4+$K$4*B34)</f>
        <v>-7.4863018458794643</v>
      </c>
      <c r="F34" s="15">
        <f>F33+$L$4</f>
        <v>3.0000000000000013</v>
      </c>
    </row>
    <row r="35" spans="2:6" x14ac:dyDescent="0.25">
      <c r="B35" s="14">
        <f>B34+D34*$L$4</f>
        <v>1.4469435465007312</v>
      </c>
      <c r="C35" s="10">
        <f>C34+E34*$L$4</f>
        <v>15.205848205698967</v>
      </c>
      <c r="D35" s="10">
        <f>B35*($H$4-$I$4*C35)</f>
        <v>-0.75325684652985336</v>
      </c>
      <c r="E35" s="10">
        <f>C35*(-$J$4+$K$4*B35)</f>
        <v>-7.1628840242433665</v>
      </c>
      <c r="F35" s="15">
        <f>F34+$L$4</f>
        <v>3.1000000000000014</v>
      </c>
    </row>
    <row r="36" spans="2:6" x14ac:dyDescent="0.25">
      <c r="B36" s="14">
        <f>B35+D35*$L$4</f>
        <v>1.3716178618477459</v>
      </c>
      <c r="C36" s="10">
        <f>C35+E35*$L$4</f>
        <v>14.489559803274631</v>
      </c>
      <c r="D36" s="10">
        <f>B36*($H$4-$I$4*C36)</f>
        <v>-0.61579604180051373</v>
      </c>
      <c r="E36" s="10">
        <f>C36*(-$J$4+$K$4*B36)</f>
        <v>-6.8472971209076636</v>
      </c>
      <c r="F36" s="15">
        <f>F35+$L$4</f>
        <v>3.2000000000000015</v>
      </c>
    </row>
    <row r="37" spans="2:6" x14ac:dyDescent="0.25">
      <c r="B37" s="14">
        <f>B36+D36*$L$4</f>
        <v>1.3100382576676946</v>
      </c>
      <c r="C37" s="10">
        <f>C36+E36*$L$4</f>
        <v>13.804830091183865</v>
      </c>
      <c r="D37" s="10">
        <f>B37*($H$4-$I$4*C37)</f>
        <v>-0.49844729833761275</v>
      </c>
      <c r="E37" s="10">
        <f>C37*(-$J$4+$K$4*B37)</f>
        <v>-6.5407179343908712</v>
      </c>
      <c r="F37" s="15">
        <f>F36+$L$4</f>
        <v>3.3000000000000016</v>
      </c>
    </row>
    <row r="38" spans="2:6" x14ac:dyDescent="0.25">
      <c r="B38" s="14">
        <f>B37+D37*$L$4</f>
        <v>1.2601935278339333</v>
      </c>
      <c r="C38" s="10">
        <f>C37+E37*$L$4</f>
        <v>13.150758297744778</v>
      </c>
      <c r="D38" s="10">
        <f>B38*($H$4-$I$4*C38)</f>
        <v>-0.39705652145870302</v>
      </c>
      <c r="E38" s="10">
        <f>C38*(-$J$4+$K$4*B38)</f>
        <v>-6.2439291390138614</v>
      </c>
      <c r="F38" s="15">
        <f>F37+$L$4</f>
        <v>3.4000000000000017</v>
      </c>
    </row>
    <row r="39" spans="2:6" x14ac:dyDescent="0.25">
      <c r="B39" s="14">
        <f>B38+D38*$L$4</f>
        <v>1.2204878756880631</v>
      </c>
      <c r="C39" s="10">
        <f>C38+E38*$L$4</f>
        <v>12.526365383843391</v>
      </c>
      <c r="D39" s="10">
        <f>B39*($H$4-$I$4*C39)</f>
        <v>-0.30833983205388793</v>
      </c>
      <c r="E39" s="10">
        <f>C39*(-$J$4+$K$4*B39)</f>
        <v>-5.9574171503733053</v>
      </c>
      <c r="F39" s="15">
        <f>F38+$L$4</f>
        <v>3.5000000000000018</v>
      </c>
    </row>
    <row r="40" spans="2:6" x14ac:dyDescent="0.25">
      <c r="B40" s="14">
        <f>B39+D39*$L$4</f>
        <v>1.1896538924826743</v>
      </c>
      <c r="C40" s="10">
        <f>C39+E39*$L$4</f>
        <v>11.93062366880606</v>
      </c>
      <c r="D40" s="10">
        <f>B40*($H$4-$I$4*C40)</f>
        <v>-0.22967739625143102</v>
      </c>
      <c r="E40" s="10">
        <f>C40*(-$J$4+$K$4*B40)</f>
        <v>-5.6814455766562091</v>
      </c>
      <c r="F40" s="15">
        <f>F39+$L$4</f>
        <v>3.6000000000000019</v>
      </c>
    </row>
    <row r="41" spans="2:6" x14ac:dyDescent="0.25">
      <c r="B41" s="14">
        <f>B40+D40*$L$4</f>
        <v>1.1666861528575312</v>
      </c>
      <c r="C41" s="10">
        <f>C40+E40*$L$4</f>
        <v>11.36247911114044</v>
      </c>
      <c r="D41" s="10">
        <f>B41*($H$4-$I$4*C41)</f>
        <v>-0.15895855125251884</v>
      </c>
      <c r="E41" s="10">
        <f>C41*(-$J$4+$K$4*B41)</f>
        <v>-5.4161106147482094</v>
      </c>
      <c r="F41" s="15">
        <f>F40+$L$4</f>
        <v>3.700000000000002</v>
      </c>
    </row>
    <row r="42" spans="2:6" x14ac:dyDescent="0.25">
      <c r="B42" s="14">
        <f>B41+D41*$L$4</f>
        <v>1.1507902977322793</v>
      </c>
      <c r="C42" s="10">
        <f>C41+E41*$L$4</f>
        <v>10.820868049665618</v>
      </c>
      <c r="D42" s="10">
        <f>B42*($H$4-$I$4*C42)</f>
        <v>-9.4464698727361365E-2</v>
      </c>
      <c r="E42" s="10">
        <f>C42*(-$J$4+$K$4*B42)</f>
        <v>-5.1613830255408812</v>
      </c>
      <c r="F42" s="15">
        <f>F41+$L$4</f>
        <v>3.800000000000002</v>
      </c>
    </row>
    <row r="43" spans="2:6" x14ac:dyDescent="0.25">
      <c r="B43" s="14">
        <f>B42+D42*$L$4</f>
        <v>1.1413438278595431</v>
      </c>
      <c r="C43" s="10">
        <f>C42+E42*$L$4</f>
        <v>10.30472974711153</v>
      </c>
      <c r="D43" s="10">
        <f>B43*($H$4-$I$4*C43)</f>
        <v>-3.4780141603094374E-2</v>
      </c>
      <c r="E43" s="10">
        <f>C43*(-$J$4+$K$4*B43)</f>
        <v>-4.9171400796632376</v>
      </c>
      <c r="F43" s="15">
        <f>F42+$L$4</f>
        <v>3.9000000000000021</v>
      </c>
    </row>
    <row r="44" spans="2:6" x14ac:dyDescent="0.25">
      <c r="B44" s="14">
        <f>B43+D43*$L$4</f>
        <v>1.1378658136992337</v>
      </c>
      <c r="C44" s="10">
        <f>C43+E43*$L$4</f>
        <v>9.8130157391452055</v>
      </c>
      <c r="D44" s="10">
        <f>B44*($H$4-$I$4*C44)</f>
        <v>2.1276299812649047E-2</v>
      </c>
      <c r="E44" s="10">
        <f>C44*(-$J$4+$K$4*B44)</f>
        <v>-4.6831899667952852</v>
      </c>
      <c r="F44" s="15">
        <f>F43+$L$4</f>
        <v>4.0000000000000018</v>
      </c>
    </row>
    <row r="45" spans="2:6" x14ac:dyDescent="0.25">
      <c r="B45" s="14">
        <f>B44+D44*$L$4</f>
        <v>1.1399934436804986</v>
      </c>
      <c r="C45" s="10">
        <f>C44+E44*$L$4</f>
        <v>9.3446967424656773</v>
      </c>
      <c r="D45" s="10">
        <f>B45*($H$4-$I$4*C45)</f>
        <v>7.470414172116005E-2</v>
      </c>
      <c r="E45" s="10">
        <f>C45*(-$J$4+$K$4*B45)</f>
        <v>-4.4592905108409706</v>
      </c>
      <c r="F45" s="15">
        <f>F44+$L$4</f>
        <v>4.1000000000000014</v>
      </c>
    </row>
    <row r="46" spans="2:6" x14ac:dyDescent="0.25">
      <c r="B46" s="14">
        <f>B45+D45*$L$4</f>
        <v>1.1474638578526146</v>
      </c>
      <c r="C46" s="10">
        <f>C45+E45*$L$4</f>
        <v>8.8987676913815807</v>
      </c>
      <c r="D46" s="10">
        <f>B46*($H$4-$I$4*C46)</f>
        <v>0.12636242732392314</v>
      </c>
      <c r="E46" s="10">
        <f>C46*(-$J$4+$K$4*B46)</f>
        <v>-4.2451635595850519</v>
      </c>
      <c r="F46" s="15">
        <f>F45+$L$4</f>
        <v>4.2000000000000011</v>
      </c>
    </row>
    <row r="47" spans="2:6" x14ac:dyDescent="0.25">
      <c r="B47" s="14">
        <f>B46+D46*$L$4</f>
        <v>1.1601001005850069</v>
      </c>
      <c r="C47" s="10">
        <f>C46+E46*$L$4</f>
        <v>8.4742513354230748</v>
      </c>
      <c r="D47" s="10">
        <f>B47*($H$4-$I$4*C47)</f>
        <v>0.17700211792431303</v>
      </c>
      <c r="E47" s="10">
        <f>C47*(-$J$4+$K$4*B47)</f>
        <v>-4.040506071179399</v>
      </c>
      <c r="F47" s="15">
        <f>F46+$L$4</f>
        <v>4.3000000000000007</v>
      </c>
    </row>
    <row r="48" spans="2:6" x14ac:dyDescent="0.25">
      <c r="B48" s="14">
        <f>B47+D47*$L$4</f>
        <v>1.1778003123774381</v>
      </c>
      <c r="C48" s="10">
        <f>C47+E47*$L$4</f>
        <v>8.0702007283051351</v>
      </c>
      <c r="D48" s="10">
        <f>B48*($H$4-$I$4*C48)</f>
        <v>0.22729181850279637</v>
      </c>
      <c r="E48" s="10">
        <f>C48*(-$J$4+$K$4*B48)</f>
        <v>-3.8449986653776391</v>
      </c>
      <c r="F48" s="15">
        <f>F47+$L$4</f>
        <v>4.4000000000000004</v>
      </c>
    </row>
    <row r="49" spans="2:6" x14ac:dyDescent="0.25">
      <c r="B49" s="14">
        <f>B48+D48*$L$4</f>
        <v>1.2005294942277178</v>
      </c>
      <c r="C49" s="10">
        <f>C48+E48*$L$4</f>
        <v>7.685700861767371</v>
      </c>
      <c r="D49" s="10">
        <f>B49*($H$4-$I$4*C49)</f>
        <v>0.27783843739140607</v>
      </c>
      <c r="E49" s="10">
        <f>C49*(-$J$4+$K$4*B49)</f>
        <v>-3.6583122195164233</v>
      </c>
      <c r="F49" s="15">
        <f>F48+$L$4</f>
        <v>4.5</v>
      </c>
    </row>
    <row r="50" spans="2:6" x14ac:dyDescent="0.25">
      <c r="B50" s="14">
        <f>B49+D49*$L$4</f>
        <v>1.2283133379668585</v>
      </c>
      <c r="C50" s="10">
        <f>C49+E49*$L$4</f>
        <v>7.319869639815729</v>
      </c>
      <c r="D50" s="10">
        <f>B50*($H$4-$I$4*C50)</f>
        <v>0.32920398689042601</v>
      </c>
      <c r="E50" s="10">
        <f>C50*(-$J$4+$K$4*B50)</f>
        <v>-3.480112949692578</v>
      </c>
      <c r="F50" s="15">
        <f>F49+$L$4</f>
        <v>4.5999999999999996</v>
      </c>
    </row>
    <row r="51" spans="2:6" x14ac:dyDescent="0.25">
      <c r="B51" s="14">
        <f>B50+D50*$L$4</f>
        <v>1.261233736655901</v>
      </c>
      <c r="C51" s="10">
        <f>C50+E50*$L$4</f>
        <v>6.9718583448464715</v>
      </c>
      <c r="D51" s="10">
        <f>B51*($H$4-$I$4*C51)</f>
        <v>0.38191944148526685</v>
      </c>
      <c r="E51" s="10">
        <f>C51*(-$J$4+$K$4*B51)</f>
        <v>-3.3100663133891088</v>
      </c>
      <c r="F51" s="15">
        <f>F50+$L$4</f>
        <v>4.6999999999999993</v>
      </c>
    </row>
    <row r="52" spans="2:6" x14ac:dyDescent="0.25">
      <c r="B52" s="14">
        <f>B51+D51*$L$4</f>
        <v>1.2994256808044278</v>
      </c>
      <c r="C52" s="10">
        <f>C51+E51*$L$4</f>
        <v>6.6408517135075602</v>
      </c>
      <c r="D52" s="10">
        <f>B52*($H$4-$I$4*C52)</f>
        <v>0.43649635490984651</v>
      </c>
      <c r="E52" s="10">
        <f>C52*(-$J$4+$K$4*B52)</f>
        <v>-3.1478399915748638</v>
      </c>
      <c r="F52" s="15">
        <f>F51+$L$4</f>
        <v>4.7999999999999989</v>
      </c>
    </row>
    <row r="53" spans="2:6" x14ac:dyDescent="0.25">
      <c r="B53" s="14">
        <f>B52+D52*$L$4</f>
        <v>1.3430753162954123</v>
      </c>
      <c r="C53" s="10">
        <f>C52+E52*$L$4</f>
        <v>6.3260677143500734</v>
      </c>
      <c r="D53" s="10">
        <f>B53*($H$4-$I$4*C53)</f>
        <v>0.49343677665972013</v>
      </c>
      <c r="E53" s="10">
        <f>C53*(-$J$4+$K$4*B53)</f>
        <v>-2.9931061492478985</v>
      </c>
      <c r="F53" s="15">
        <f>F52+$L$4</f>
        <v>4.8999999999999986</v>
      </c>
    </row>
    <row r="54" spans="2:6" x14ac:dyDescent="0.25">
      <c r="B54" s="14">
        <f>B53+D53*$L$4</f>
        <v>1.3924189939613842</v>
      </c>
      <c r="C54" s="10">
        <f>C53+E53*$L$4</f>
        <v>6.0267570994252839</v>
      </c>
      <c r="D54" s="10">
        <f>B54*($H$4-$I$4*C54)</f>
        <v>0.55324188823824583</v>
      </c>
      <c r="E54" s="10">
        <f>C54*(-$J$4+$K$4*B54)</f>
        <v>-2.8455431285680142</v>
      </c>
      <c r="F54" s="15">
        <f>F53+$L$4</f>
        <v>4.9999999999999982</v>
      </c>
    </row>
    <row r="55" spans="2:6" x14ac:dyDescent="0.25">
      <c r="B55" s="14">
        <f>B54+D54*$L$4</f>
        <v>1.4477431827852087</v>
      </c>
      <c r="C55" s="10">
        <f>C54+E54*$L$4</f>
        <v>5.7422027865684822</v>
      </c>
      <c r="D55" s="10">
        <f>B55*($H$4-$I$4*C55)</f>
        <v>0.6164196889427338</v>
      </c>
      <c r="E55" s="10">
        <f>C55*(-$J$4+$K$4*B55)</f>
        <v>-2.704836694515746</v>
      </c>
      <c r="F55" s="15">
        <f>F54+$L$4</f>
        <v>5.0999999999999979</v>
      </c>
    </row>
    <row r="56" spans="2:6" x14ac:dyDescent="0.25">
      <c r="B56" s="14">
        <f>B55+D55*$L$4</f>
        <v>1.5093851516794821</v>
      </c>
      <c r="C56" s="10">
        <f>C55+E55*$L$4</f>
        <v>5.4717191171169075</v>
      </c>
      <c r="D56" s="10">
        <f>B56*($H$4-$I$4*C56)</f>
        <v>0.68349199272577954</v>
      </c>
      <c r="E56" s="10">
        <f>C56*(-$J$4+$K$4*B56)</f>
        <v>-2.5706809267677131</v>
      </c>
      <c r="F56" s="15">
        <f>F55+$L$4</f>
        <v>5.1999999999999975</v>
      </c>
    </row>
    <row r="57" spans="2:6" x14ac:dyDescent="0.25">
      <c r="B57" s="14">
        <f>B56+D56*$L$4</f>
        <v>1.57773435095206</v>
      </c>
      <c r="C57" s="10">
        <f>C56+E56*$L$4</f>
        <v>5.2146510244401361</v>
      </c>
      <c r="D57" s="10">
        <f>B57*($H$4-$I$4*C57)</f>
        <v>0.75500094600340462</v>
      </c>
      <c r="E57" s="10">
        <f>C57*(-$J$4+$K$4*B57)</f>
        <v>-2.4427788312303371</v>
      </c>
      <c r="F57" s="15">
        <f>F56+$L$4</f>
        <v>5.2999999999999972</v>
      </c>
    </row>
    <row r="58" spans="2:6" x14ac:dyDescent="0.25">
      <c r="B58" s="14">
        <f>B57+D57*$L$4</f>
        <v>1.6532344455524006</v>
      </c>
      <c r="C58" s="10">
        <f>C57+E57*$L$4</f>
        <v>4.9703731413171024</v>
      </c>
      <c r="D58" s="10">
        <f>B58*($H$4-$I$4*C58)</f>
        <v>0.83151523710500819</v>
      </c>
      <c r="E58" s="10">
        <f>C58*(-$J$4+$K$4*B58)</f>
        <v>-2.3208427289690725</v>
      </c>
      <c r="F58" s="15">
        <f>F57+$L$4</f>
        <v>5.3999999999999968</v>
      </c>
    </row>
    <row r="59" spans="2:6" x14ac:dyDescent="0.25">
      <c r="B59" s="14">
        <f>B58+D58*$L$4</f>
        <v>1.7363859692629013</v>
      </c>
      <c r="C59" s="10">
        <f>C58+E58*$L$4</f>
        <v>4.7382888684201951</v>
      </c>
      <c r="D59" s="10">
        <f>B59*($H$4-$I$4*C59)</f>
        <v>0.91363613831895973</v>
      </c>
      <c r="E59" s="10">
        <f>C59*(-$J$4+$K$4*B59)</f>
        <v>-2.204594468021309</v>
      </c>
      <c r="F59" s="15">
        <f>F58+$L$4</f>
        <v>5.4999999999999964</v>
      </c>
    </row>
    <row r="60" spans="2:6" x14ac:dyDescent="0.25">
      <c r="B60" s="14">
        <f>B59+D59*$L$4</f>
        <v>1.8277495830947974</v>
      </c>
      <c r="C60" s="10">
        <f>C59+E59*$L$4</f>
        <v>4.5178294216180639</v>
      </c>
      <c r="D60" s="10">
        <f>B60*($H$4-$I$4*C60)</f>
        <v>1.0020034989092146</v>
      </c>
      <c r="E60" s="10">
        <f>C60*(-$J$4+$K$4*B60)</f>
        <v>-2.0937654939719152</v>
      </c>
      <c r="F60" s="15">
        <f>F59+$L$4</f>
        <v>5.5999999999999961</v>
      </c>
    </row>
    <row r="61" spans="2:6" x14ac:dyDescent="0.25">
      <c r="B61" s="14">
        <f>B60+D60*$L$4</f>
        <v>1.9279499329857188</v>
      </c>
      <c r="C61" s="10">
        <f>C60+E60*$L$4</f>
        <v>4.3084528722208724</v>
      </c>
      <c r="D61" s="10">
        <f>B61*($H$4-$I$4*C61)</f>
        <v>1.0973017903586828</v>
      </c>
      <c r="E61" s="10">
        <f>C61*(-$J$4+$K$4*B61)</f>
        <v>-1.9880968075850292</v>
      </c>
      <c r="F61" s="15">
        <f>F60+$L$4</f>
        <v>5.6999999999999957</v>
      </c>
    </row>
    <row r="62" spans="2:6" x14ac:dyDescent="0.25">
      <c r="B62" s="14">
        <f>B61+D61*$L$4</f>
        <v>2.0376801120215871</v>
      </c>
      <c r="C62" s="10">
        <f>C61+E61*$L$4</f>
        <v>4.1096431914623697</v>
      </c>
      <c r="D62" s="10">
        <f>B62*($H$4-$I$4*C62)</f>
        <v>1.2002662921468077</v>
      </c>
      <c r="E62" s="10">
        <f>C62*(-$J$4+$K$4*B62)</f>
        <v>-1.887338831756229</v>
      </c>
      <c r="F62" s="15">
        <f>F61+$L$4</f>
        <v>5.7999999999999954</v>
      </c>
    </row>
    <row r="63" spans="2:6" x14ac:dyDescent="0.25">
      <c r="B63" s="14">
        <f>B62+D62*$L$4</f>
        <v>2.157706741236268</v>
      </c>
      <c r="C63" s="10">
        <f>C62+E62*$L$4</f>
        <v>3.9209093082867468</v>
      </c>
      <c r="D63" s="10">
        <f>B63*($H$4-$I$4*C63)</f>
        <v>1.3116894966096335</v>
      </c>
      <c r="E63" s="10">
        <f>C63*(-$J$4+$K$4*B63)</f>
        <v>-1.7912512052180465</v>
      </c>
      <c r="F63" s="15">
        <f>F62+$L$4</f>
        <v>5.899999999999995</v>
      </c>
    </row>
    <row r="64" spans="2:6" x14ac:dyDescent="0.25">
      <c r="B64" s="14">
        <f>B63+D63*$L$4</f>
        <v>2.2888756908972314</v>
      </c>
      <c r="C64" s="10">
        <f>C63+E63*$L$4</f>
        <v>3.7417841877649423</v>
      </c>
      <c r="D64" s="10">
        <f>B64*($H$4-$I$4*C64)</f>
        <v>1.4324278041013494</v>
      </c>
      <c r="E64" s="10">
        <f>C64*(-$J$4+$K$4*B64)</f>
        <v>-1.6996025165232946</v>
      </c>
      <c r="F64" s="15">
        <f>F63+$L$4</f>
        <v>5.9999999999999947</v>
      </c>
    </row>
    <row r="65" spans="2:6" x14ac:dyDescent="0.25">
      <c r="B65" s="14">
        <f>B64+D64*$L$4</f>
        <v>2.4321184713073665</v>
      </c>
      <c r="C65" s="10">
        <f>C64+E64*$L$4</f>
        <v>3.571823936112613</v>
      </c>
      <c r="D65" s="10">
        <f>B65*($H$4-$I$4*C65)</f>
        <v>1.5634085741796397</v>
      </c>
      <c r="E65" s="10">
        <f>C65*(-$J$4+$K$4*B65)</f>
        <v>-1.6121699886307612</v>
      </c>
      <c r="F65" s="15">
        <f>F64+$L$4</f>
        <v>6.0999999999999943</v>
      </c>
    </row>
    <row r="66" spans="2:6" x14ac:dyDescent="0.25">
      <c r="B66" s="14">
        <f>B65+D65*$L$4</f>
        <v>2.5884593287253304</v>
      </c>
      <c r="C66" s="10">
        <f>C65+E65*$L$4</f>
        <v>3.4106069372495367</v>
      </c>
      <c r="D66" s="10">
        <f>B66*($H$4-$I$4*C66)</f>
        <v>1.7056375943914415</v>
      </c>
      <c r="E66" s="10">
        <f>C66*(-$J$4+$K$4*B66)</f>
        <v>-1.5287391217579904</v>
      </c>
      <c r="F66" s="15">
        <f>F65+$L$4</f>
        <v>6.199999999999994</v>
      </c>
    </row>
    <row r="67" spans="2:6" x14ac:dyDescent="0.25">
      <c r="B67" s="14">
        <f>B66+D66*$L$4</f>
        <v>2.7590230881644744</v>
      </c>
      <c r="C67" s="10">
        <f>C66+E66*$L$4</f>
        <v>3.2577330250737377</v>
      </c>
      <c r="D67" s="10">
        <f>B67*($H$4-$I$4*C67)</f>
        <v>1.8602070250390403</v>
      </c>
      <c r="E67" s="10">
        <f>C67*(-$J$4+$K$4*B67)</f>
        <v>-1.4491032999117821</v>
      </c>
      <c r="F67" s="15">
        <f>F66+$L$4</f>
        <v>6.2999999999999936</v>
      </c>
    </row>
    <row r="68" spans="2:6" x14ac:dyDescent="0.25">
      <c r="B68" s="14">
        <f>B67+D67*$L$4</f>
        <v>2.9450437906683784</v>
      </c>
      <c r="C68" s="10">
        <f>C67+E67*$L$4</f>
        <v>3.1128226950825595</v>
      </c>
      <c r="D68" s="10">
        <f>B68*($H$4-$I$4*C68)</f>
        <v>2.0283038757079286</v>
      </c>
      <c r="E68" s="10">
        <f>C68*(-$J$4+$K$4*B68)</f>
        <v>-1.3730633645491899</v>
      </c>
      <c r="F68" s="15">
        <f>F67+$L$4</f>
        <v>6.3999999999999932</v>
      </c>
    </row>
    <row r="69" spans="2:6" x14ac:dyDescent="0.25">
      <c r="B69" s="14">
        <f>B68+D68*$L$4</f>
        <v>3.1478741782391713</v>
      </c>
      <c r="C69" s="10">
        <f>C68+E68*$L$4</f>
        <v>2.9755163586276403</v>
      </c>
      <c r="D69" s="10">
        <f>B69*($H$4-$I$4*C69)</f>
        <v>2.2112190670139515</v>
      </c>
      <c r="E69" s="10">
        <f>C69*(-$J$4+$K$4*B69)</f>
        <v>-1.3004271570687762</v>
      </c>
      <c r="F69" s="15">
        <f>F68+$L$4</f>
        <v>6.4999999999999929</v>
      </c>
    </row>
    <row r="70" spans="2:6" x14ac:dyDescent="0.25">
      <c r="B70" s="14">
        <f>B69+D69*$L$4</f>
        <v>3.3689960849405662</v>
      </c>
      <c r="C70" s="10">
        <f>C69+E69*$L$4</f>
        <v>2.8454736429207625</v>
      </c>
      <c r="D70" s="10">
        <f>B70*($H$4-$I$4*C70)</f>
        <v>2.410357128660404</v>
      </c>
      <c r="E70" s="10">
        <f>C70*(-$J$4+$K$4*B70)</f>
        <v>-1.2310090302043488</v>
      </c>
      <c r="F70" s="15">
        <f>F69+$L$4</f>
        <v>6.5999999999999925</v>
      </c>
    </row>
    <row r="71" spans="2:6" x14ac:dyDescent="0.25">
      <c r="B71" s="14">
        <f>B70+D70*$L$4</f>
        <v>3.6100317978066068</v>
      </c>
      <c r="C71" s="10">
        <f>C70+E70*$L$4</f>
        <v>2.7223727399003277</v>
      </c>
      <c r="D71" s="10">
        <f>B71*($H$4-$I$4*C71)</f>
        <v>2.6272465821543993</v>
      </c>
      <c r="E71" s="10">
        <f>C71*(-$J$4+$K$4*B71)</f>
        <v>-1.1646293268197223</v>
      </c>
      <c r="F71" s="15">
        <f>F70+$L$4</f>
        <v>6.6999999999999922</v>
      </c>
    </row>
    <row r="72" spans="2:6" x14ac:dyDescent="0.25">
      <c r="B72" s="14">
        <f>B71+D71*$L$4</f>
        <v>3.8727564560220467</v>
      </c>
      <c r="C72" s="10">
        <f>C71+E71*$L$4</f>
        <v>2.6059098072183553</v>
      </c>
      <c r="D72" s="10">
        <f>B72*($H$4-$I$4*C72)</f>
        <v>2.8635510530504411</v>
      </c>
      <c r="E72" s="10">
        <f>C72*(-$J$4+$K$4*B72)</f>
        <v>-1.1011138230148565</v>
      </c>
      <c r="F72" s="15">
        <f>F71+$L$4</f>
        <v>6.7999999999999918</v>
      </c>
    </row>
    <row r="73" spans="2:6" x14ac:dyDescent="0.25">
      <c r="B73" s="14">
        <f>B72+D72*$L$4</f>
        <v>4.1591115613270908</v>
      </c>
      <c r="C73" s="10">
        <f>C72+E72*$L$4</f>
        <v>2.4957984249168694</v>
      </c>
      <c r="D73" s="10">
        <f>B73*($H$4-$I$4*C73)</f>
        <v>3.1210811529457212</v>
      </c>
      <c r="E73" s="10">
        <f>C73*(-$J$4+$K$4*B73)</f>
        <v>-1.0402931307821608</v>
      </c>
      <c r="F73" s="15">
        <f>F72+$L$4</f>
        <v>6.8999999999999915</v>
      </c>
    </row>
    <row r="74" spans="2:6" x14ac:dyDescent="0.25">
      <c r="B74" s="14">
        <f>B73+D73*$L$4</f>
        <v>4.4712196766216632</v>
      </c>
      <c r="C74" s="10">
        <f>C73+E73*$L$4</f>
        <v>2.3917691118386535</v>
      </c>
      <c r="D74" s="10">
        <f>B74*($H$4-$I$4*C74)</f>
        <v>3.4018071651427726</v>
      </c>
      <c r="E74" s="10">
        <f>C74*(-$J$4+$K$4*B74)</f>
        <v>-0.98200205362354864</v>
      </c>
      <c r="F74" s="15">
        <f>F73+$L$4</f>
        <v>6.9999999999999911</v>
      </c>
    </row>
    <row r="75" spans="2:6" x14ac:dyDescent="0.25">
      <c r="B75" s="14">
        <f>B74+D74*$L$4</f>
        <v>4.8114003931359406</v>
      </c>
      <c r="C75" s="10">
        <f>C74+E74*$L$4</f>
        <v>2.2935689064762985</v>
      </c>
      <c r="D75" s="10">
        <f>B75*($H$4-$I$4*C75)</f>
        <v>3.7078725593054971</v>
      </c>
      <c r="E75" s="10">
        <f>C75*(-$J$4+$K$4*B75)</f>
        <v>-0.92607888647206071</v>
      </c>
      <c r="F75" s="15">
        <f>F74+$L$4</f>
        <v>7.0999999999999908</v>
      </c>
    </row>
    <row r="76" spans="2:6" x14ac:dyDescent="0.25">
      <c r="B76" s="14">
        <f>B75+D75*$L$4</f>
        <v>5.1821876490664902</v>
      </c>
      <c r="C76" s="10">
        <f>C75+E75*$L$4</f>
        <v>2.2009610178290924</v>
      </c>
      <c r="D76" s="10">
        <f>B76*($H$4-$I$4*C76)</f>
        <v>4.041608348799417</v>
      </c>
      <c r="E76" s="10">
        <f>C76*(-$J$4+$K$4*B76)</f>
        <v>-0.87236464886113163</v>
      </c>
      <c r="F76" s="15">
        <f>F75+$L$4</f>
        <v>7.1999999999999904</v>
      </c>
    </row>
    <row r="77" spans="2:6" x14ac:dyDescent="0.25">
      <c r="B77" s="14">
        <f>B76+D76*$L$4</f>
        <v>5.5863484839464324</v>
      </c>
      <c r="C77" s="10">
        <f>C76+E76*$L$4</f>
        <v>2.1137245529429793</v>
      </c>
      <c r="D77" s="10">
        <f>B77*($H$4-$I$4*C77)</f>
        <v>4.4055482887650959</v>
      </c>
      <c r="E77" s="10">
        <f>C77*(-$J$4+$K$4*B77)</f>
        <v>-0.82070223743522241</v>
      </c>
      <c r="F77" s="15">
        <f>F76+$L$4</f>
        <v>7.2999999999999901</v>
      </c>
    </row>
    <row r="78" spans="2:6" x14ac:dyDescent="0.25">
      <c r="B78" s="14">
        <f>B77+D77*$L$4</f>
        <v>6.0269033128229417</v>
      </c>
      <c r="C78" s="10">
        <f>C77+E77*$L$4</f>
        <v>2.0316543291994571</v>
      </c>
      <c r="D78" s="10">
        <f>B78*($H$4-$I$4*C78)</f>
        <v>4.8024448921066138</v>
      </c>
      <c r="E78" s="10">
        <f>C78*(-$J$4+$K$4*B78)</f>
        <v>-0.77093548045646287</v>
      </c>
      <c r="F78" s="15">
        <f>F77+$L$4</f>
        <v>7.3999999999999897</v>
      </c>
    </row>
    <row r="79" spans="2:6" x14ac:dyDescent="0.25">
      <c r="B79" s="14">
        <f>B78+D78*$L$4</f>
        <v>6.5071478020336029</v>
      </c>
      <c r="C79" s="10">
        <f>C78+E78*$L$4</f>
        <v>1.9545607811538108</v>
      </c>
      <c r="D79" s="10">
        <f>B79*($H$4-$I$4*C79)</f>
        <v>5.2352862129309923</v>
      </c>
      <c r="E79" s="10">
        <f>C79*(-$J$4+$K$4*B79)</f>
        <v>-0.72290807275638336</v>
      </c>
      <c r="F79" s="15">
        <f>F78+$L$4</f>
        <v>7.4999999999999893</v>
      </c>
    </row>
    <row r="80" spans="2:6" x14ac:dyDescent="0.25">
      <c r="B80" s="14">
        <f>B79+D79*$L$4</f>
        <v>7.0306764233267023</v>
      </c>
      <c r="C80" s="10">
        <f>C79+E79*$L$4</f>
        <v>1.8822699738781725</v>
      </c>
      <c r="D80" s="10">
        <f>B80*($H$4-$I$4*C80)</f>
        <v>5.7073133105585985</v>
      </c>
      <c r="E80" s="10">
        <f>C80*(-$J$4+$K$4*B80)</f>
        <v>-0.67646236438546548</v>
      </c>
      <c r="F80" s="15">
        <f>F79+$L$4</f>
        <v>7.599999999999989</v>
      </c>
    </row>
    <row r="81" spans="2:6" x14ac:dyDescent="0.25">
      <c r="B81" s="14">
        <f>B80+D80*$L$4</f>
        <v>7.6014077543825618</v>
      </c>
      <c r="C81" s="10">
        <f>C80+E80*$L$4</f>
        <v>1.8146237374396259</v>
      </c>
      <c r="D81" s="10">
        <f>B81*($H$4-$I$4*C81)</f>
        <v>6.2220382594765384</v>
      </c>
      <c r="E81" s="10">
        <f>C81*(-$J$4+$K$4*B81)</f>
        <v>-0.63143796973860822</v>
      </c>
      <c r="F81" s="15">
        <f>F80+$L$4</f>
        <v>7.6999999999999886</v>
      </c>
    </row>
    <row r="82" spans="2:6" x14ac:dyDescent="0.25">
      <c r="B82" s="14">
        <f>B81+D81*$L$4</f>
        <v>8.2236115803302159</v>
      </c>
      <c r="C82" s="10">
        <f>C81+E81*$L$4</f>
        <v>1.7514799404657651</v>
      </c>
      <c r="D82" s="10">
        <f>B82*($H$4-$I$4*C82)</f>
        <v>6.7832625082171809</v>
      </c>
      <c r="E82" s="10">
        <f>C82*(-$J$4+$K$4*B82)</f>
        <v>-0.58767015581027571</v>
      </c>
      <c r="F82" s="15">
        <f>F81+$L$4</f>
        <v>7.7999999999999883</v>
      </c>
    </row>
    <row r="83" spans="2:6" x14ac:dyDescent="0.25">
      <c r="B83" s="14">
        <f>B82+D82*$L$4</f>
        <v>8.9019378311519333</v>
      </c>
      <c r="C83" s="10">
        <f>C82+E82*$L$4</f>
        <v>1.6927129248847375</v>
      </c>
      <c r="D83" s="10">
        <f>B83*($H$4-$I$4*C83)</f>
        <v>7.3950953088208049</v>
      </c>
      <c r="E83" s="10">
        <f>C83*(-$J$4+$K$4*B83)</f>
        <v>-0.54498795797614297</v>
      </c>
      <c r="F83" s="15">
        <f>F82+$L$4</f>
        <v>7.8999999999999879</v>
      </c>
    </row>
    <row r="84" spans="2:6" x14ac:dyDescent="0.25">
      <c r="B84" s="14">
        <f>B83+D83*$L$4</f>
        <v>9.6414473620340146</v>
      </c>
      <c r="C84" s="10">
        <f>C83+E83*$L$4</f>
        <v>1.6382141290871233</v>
      </c>
      <c r="D84" s="10">
        <f>B84*($H$4-$I$4*C84)</f>
        <v>8.0619718327006247</v>
      </c>
      <c r="E84" s="10">
        <f>C84*(-$J$4+$K$4*B84)</f>
        <v>-0.50321195867688362</v>
      </c>
      <c r="F84" s="15">
        <f>F83+$L$4</f>
        <v>7.9999999999999876</v>
      </c>
    </row>
    <row r="85" spans="2:6" x14ac:dyDescent="0.25">
      <c r="B85" s="14">
        <f>B84+D84*$L$4</f>
        <v>10.447644545304078</v>
      </c>
      <c r="C85" s="10">
        <f>C84+E84*$L$4</f>
        <v>1.5878929332194349</v>
      </c>
      <c r="D85" s="10">
        <f>B85*($H$4-$I$4*C85)</f>
        <v>8.7886704510763867</v>
      </c>
      <c r="E85" s="10">
        <f>C85*(-$J$4+$K$4*B85)</f>
        <v>-0.46215164776417894</v>
      </c>
      <c r="F85" s="15">
        <f>F84+$L$4</f>
        <v>8.0999999999999872</v>
      </c>
    </row>
    <row r="86" spans="2:6" x14ac:dyDescent="0.25">
      <c r="B86" s="14">
        <f>B85+D85*$L$4</f>
        <v>11.326511590411716</v>
      </c>
      <c r="C86" s="10">
        <f>C85+E85*$L$4</f>
        <v>1.541677768443017</v>
      </c>
      <c r="D86" s="10">
        <f>B86*($H$4-$I$4*C86)</f>
        <v>9.5803284791167265</v>
      </c>
      <c r="E86" s="10">
        <f>C86*(-$J$4+$K$4*B86)</f>
        <v>-0.42160226196251049</v>
      </c>
      <c r="F86" s="15">
        <f>F85+$L$4</f>
        <v>8.1999999999999869</v>
      </c>
    </row>
    <row r="87" spans="2:6" x14ac:dyDescent="0.25">
      <c r="B87" s="14">
        <f>B86+D86*$L$4</f>
        <v>12.284544438323389</v>
      </c>
      <c r="C87" s="10">
        <f>C86+E86*$L$4</f>
        <v>1.4995175422467659</v>
      </c>
      <c r="D87" s="10">
        <f>B87*($H$4-$I$4*C87)</f>
        <v>10.4424554499458</v>
      </c>
      <c r="E87" s="10">
        <f>C87*(-$J$4+$K$4*B87)</f>
        <v>-0.38134097344786566</v>
      </c>
      <c r="F87" s="15">
        <f>F86+$L$4</f>
        <v>8.2999999999999865</v>
      </c>
    </row>
    <row r="88" spans="2:6" x14ac:dyDescent="0.25">
      <c r="B88" s="14">
        <f>B87+D87*$L$4</f>
        <v>13.328789983317968</v>
      </c>
      <c r="C88" s="10">
        <f>C87+E87*$L$4</f>
        <v>1.4613834449019794</v>
      </c>
      <c r="D88" s="10">
        <f>B88*($H$4-$I$4*C88)</f>
        <v>11.380942681098347</v>
      </c>
      <c r="E88" s="10">
        <f>C88*(-$J$4+$K$4*B88)</f>
        <v>-0.34112226200706552</v>
      </c>
      <c r="F88" s="15">
        <f>F87+$L$4</f>
        <v>8.3999999999999861</v>
      </c>
    </row>
    <row r="89" spans="2:6" x14ac:dyDescent="0.25">
      <c r="B89" s="14">
        <f>B88+D88*$L$4</f>
        <v>14.466884251427803</v>
      </c>
      <c r="C89" s="10">
        <f>C88+E88*$L$4</f>
        <v>1.4272712187012728</v>
      </c>
      <c r="D89" s="10">
        <f>B89*($H$4-$I$4*C89)</f>
        <v>12.402067499793242</v>
      </c>
      <c r="E89" s="10">
        <f>C89*(-$J$4+$K$4*B89)</f>
        <v>-0.30067225902372419</v>
      </c>
      <c r="F89" s="15">
        <f>F88+$L$4</f>
        <v>8.4999999999999858</v>
      </c>
    </row>
    <row r="90" spans="2:6" x14ac:dyDescent="0.25">
      <c r="B90" s="14">
        <f>B89+D89*$L$4</f>
        <v>15.707091001407127</v>
      </c>
      <c r="C90" s="10">
        <f>C89+E89*$L$4</f>
        <v>1.3972039927989004</v>
      </c>
      <c r="D90" s="10">
        <f>B90*($H$4-$I$4*C90)</f>
        <v>13.512489975164954</v>
      </c>
      <c r="E90" s="10">
        <f>C90*(-$J$4+$K$4*B90)</f>
        <v>-0.25968179115101586</v>
      </c>
      <c r="F90" s="15">
        <f>F89+$L$4</f>
        <v>8.5999999999999854</v>
      </c>
    </row>
    <row r="91" spans="2:6" x14ac:dyDescent="0.25">
      <c r="B91" s="14">
        <f>B90+D90*$L$4</f>
        <v>17.058339998923621</v>
      </c>
      <c r="C91" s="10">
        <f>C90+E90*$L$4</f>
        <v>1.3712358136837988</v>
      </c>
      <c r="D91" s="10">
        <f>B91*($H$4-$I$4*C91)</f>
        <v>14.71923932607173</v>
      </c>
      <c r="E91" s="10">
        <f>C91*(-$J$4+$K$4*B91)</f>
        <v>-0.21779777227152092</v>
      </c>
      <c r="F91" s="15">
        <f>F90+$L$4</f>
        <v>8.6999999999999851</v>
      </c>
    </row>
    <row r="92" spans="2:6" x14ac:dyDescent="0.25">
      <c r="B92" s="14">
        <f>B91+D91*$L$4</f>
        <v>18.530263931530794</v>
      </c>
      <c r="C92" s="10">
        <f>C91+E91*$L$4</f>
        <v>1.3494560364566466</v>
      </c>
      <c r="D92" s="10">
        <f>B92*($H$4-$I$4*C92)</f>
        <v>16.029686279576882</v>
      </c>
      <c r="E92" s="10">
        <f>C92*(-$J$4+$K$4*B92)</f>
        <v>-0.17461248783754124</v>
      </c>
      <c r="F92" s="15">
        <f>F91+$L$4</f>
        <v>8.7999999999999847</v>
      </c>
    </row>
    <row r="93" spans="2:6" x14ac:dyDescent="0.25">
      <c r="B93" s="14">
        <f>B92+D92*$L$4</f>
        <v>20.133232559488484</v>
      </c>
      <c r="C93" s="10">
        <f>C92+E92*$L$4</f>
        <v>1.3319947876728924</v>
      </c>
      <c r="D93" s="10">
        <f>B93*($H$4-$I$4*C93)</f>
        <v>17.451496476664001</v>
      </c>
      <c r="E93" s="10">
        <f>C93*(-$J$4+$K$4*B93)</f>
        <v>-0.12965017727154965</v>
      </c>
      <c r="F93" s="15">
        <f>F92+$L$4</f>
        <v>8.8999999999999844</v>
      </c>
    </row>
    <row r="94" spans="2:6" x14ac:dyDescent="0.25">
      <c r="B94" s="14">
        <f>B93+D93*$L$4</f>
        <v>21.878382207154885</v>
      </c>
      <c r="C94" s="10">
        <f>C93+E93*$L$4</f>
        <v>1.3190297699457374</v>
      </c>
      <c r="D94" s="10">
        <f>B94*($H$4-$I$4*C94)</f>
        <v>18.992558462206041</v>
      </c>
      <c r="E94" s="10">
        <f>C94*(-$J$4+$K$4*B94)</f>
        <v>-8.2350135983100203E-2</v>
      </c>
      <c r="F94" s="15">
        <f>F93+$L$4</f>
        <v>8.999999999999984</v>
      </c>
    </row>
    <row r="95" spans="2:6" x14ac:dyDescent="0.25">
      <c r="B95" s="14">
        <f>B94+D94*$L$4</f>
        <v>23.77763805337549</v>
      </c>
      <c r="C95" s="10">
        <f>C94+E94*$L$4</f>
        <v>1.3107947563474274</v>
      </c>
      <c r="D95" s="10">
        <f>B95*($H$4-$I$4*C95)</f>
        <v>20.660877725506325</v>
      </c>
      <c r="E95" s="10">
        <f>C95*(-$J$4+$K$4*B95)</f>
        <v>-3.2045312599880804E-2</v>
      </c>
      <c r="F95" s="15">
        <f>F94+$L$4</f>
        <v>9.0999999999999837</v>
      </c>
    </row>
    <row r="96" spans="2:6" x14ac:dyDescent="0.25">
      <c r="B96" s="14">
        <f>B95+D95*$L$4</f>
        <v>25.843725825926121</v>
      </c>
      <c r="C96" s="10">
        <f>C95+E95*$L$4</f>
        <v>1.3075902250874394</v>
      </c>
      <c r="D96" s="10">
        <f>B96*($H$4-$I$4*C96)</f>
        <v>22.464425498944042</v>
      </c>
      <c r="E96" s="10">
        <f>C96*(-$J$4+$K$4*B96)</f>
        <v>2.2064952852696489E-2</v>
      </c>
      <c r="F96" s="15">
        <f>F95+$L$4</f>
        <v>9.1999999999999833</v>
      </c>
    </row>
    <row r="97" spans="2:6" x14ac:dyDescent="0.25">
      <c r="B97" s="14">
        <f>B96+D96*$L$4</f>
        <v>28.090168375820525</v>
      </c>
      <c r="C97" s="10">
        <f>C96+E96*$L$4</f>
        <v>1.309796720372709</v>
      </c>
      <c r="D97" s="10">
        <f>B97*($H$4-$I$4*C97)</f>
        <v>24.410927334483834</v>
      </c>
      <c r="E97" s="10">
        <f>C97*(-$J$4+$K$4*B97)</f>
        <v>8.0949848080983655E-2</v>
      </c>
      <c r="F97" s="15">
        <f>F96+$L$4</f>
        <v>9.2999999999999829</v>
      </c>
    </row>
    <row r="98" spans="2:6" x14ac:dyDescent="0.25">
      <c r="B98" s="14">
        <f>B97+D97*$L$4</f>
        <v>30.531261109268907</v>
      </c>
      <c r="C98" s="10">
        <f>C97+E97*$L$4</f>
        <v>1.3178917051808074</v>
      </c>
      <c r="D98" s="10">
        <f>B98*($H$4-$I$4*C98)</f>
        <v>26.507571532807422</v>
      </c>
      <c r="E98" s="10">
        <f>C98*(-$J$4+$K$4*B98)</f>
        <v>0.14579206270189374</v>
      </c>
      <c r="F98" s="15">
        <f>F97+$L$4</f>
        <v>9.3999999999999826</v>
      </c>
    </row>
    <row r="99" spans="2:6" x14ac:dyDescent="0.25">
      <c r="B99" s="14">
        <f>B98+D98*$L$4</f>
        <v>33.182018262549647</v>
      </c>
      <c r="C99" s="10">
        <f>C98+E98*$L$4</f>
        <v>1.3324709114509967</v>
      </c>
      <c r="D99" s="10">
        <f>B99*($H$4-$I$4*C99)</f>
        <v>28.760610850741333</v>
      </c>
      <c r="E99" s="10">
        <f>C99*(-$J$4+$K$4*B99)</f>
        <v>0.21804602663616451</v>
      </c>
      <c r="F99" s="15">
        <f>F98+$L$4</f>
        <v>9.4999999999999822</v>
      </c>
    </row>
    <row r="100" spans="2:6" x14ac:dyDescent="0.25">
      <c r="B100" s="14">
        <f>B99+D99*$L$4</f>
        <v>36.058079347623782</v>
      </c>
      <c r="C100" s="10">
        <f>C99+E99*$L$4</f>
        <v>1.3542755141146132</v>
      </c>
      <c r="D100" s="10">
        <f>B100*($H$4-$I$4*C100)</f>
        <v>31.174821952974909</v>
      </c>
      <c r="E100" s="10">
        <f>C100*(-$J$4+$K$4*B100)</f>
        <v>0.29951372187246772</v>
      </c>
      <c r="F100" s="15">
        <f>F99+$L$4</f>
        <v>9.5999999999999819</v>
      </c>
    </row>
    <row r="101" spans="2:6" x14ac:dyDescent="0.25">
      <c r="B101" s="14">
        <f>B100+D100*$L$4</f>
        <v>39.175561542921272</v>
      </c>
      <c r="C101" s="10">
        <f>C100+E100*$L$4</f>
        <v>1.3842268863018601</v>
      </c>
      <c r="D101" s="10">
        <f>B101*($H$4-$I$4*C101)</f>
        <v>33.75277498555279</v>
      </c>
      <c r="E101" s="10">
        <f>C101*(-$J$4+$K$4*B101)</f>
        <v>0.39244386832276607</v>
      </c>
      <c r="F101" s="15">
        <f>F100+$L$4</f>
        <v>9.6999999999999815</v>
      </c>
    </row>
    <row r="102" spans="2:6" x14ac:dyDescent="0.25">
      <c r="B102" s="14">
        <f>B101+D101*$L$4</f>
        <v>42.55083904147655</v>
      </c>
      <c r="C102" s="10">
        <f>C101+E101*$L$4</f>
        <v>1.4234712731341368</v>
      </c>
      <c r="D102" s="10">
        <f>B102*($H$4-$I$4*C102)</f>
        <v>36.493849339146912</v>
      </c>
      <c r="E102" s="10">
        <f>C102*(-$J$4+$K$4*B102)</f>
        <v>0.4996623038988588</v>
      </c>
      <c r="F102" s="15">
        <f>F101+$L$4</f>
        <v>9.7999999999999812</v>
      </c>
    </row>
    <row r="103" spans="2:6" x14ac:dyDescent="0.25">
      <c r="B103" s="14">
        <f>B102+D102*$L$4</f>
        <v>46.200223975391239</v>
      </c>
      <c r="C103" s="10">
        <f>C102+E102*$L$4</f>
        <v>1.4734375035240226</v>
      </c>
      <c r="D103" s="10">
        <f>B103*($H$4-$I$4*C103)</f>
        <v>39.392909707736123</v>
      </c>
      <c r="E103" s="10">
        <f>C103*(-$J$4+$K$4*B103)</f>
        <v>0.62474410176901196</v>
      </c>
      <c r="F103" s="15">
        <f>F102+$L$4</f>
        <v>9.8999999999999808</v>
      </c>
    </row>
    <row r="104" spans="2:6" x14ac:dyDescent="0.25">
      <c r="B104" s="14">
        <f>B103+D103*$L$4</f>
        <v>50.139514946164851</v>
      </c>
      <c r="C104" s="10">
        <f>C103+E103*$L$4</f>
        <v>1.5359119137009238</v>
      </c>
      <c r="D104" s="10">
        <f>B104*($H$4-$I$4*C104)</f>
        <v>42.43852711086484</v>
      </c>
      <c r="E104" s="10">
        <f>C104*(-$J$4+$K$4*B104)</f>
        <v>0.77224161020954074</v>
      </c>
      <c r="F104" s="15">
        <f>F103+$L$4</f>
        <v>9.9999999999999805</v>
      </c>
    </row>
    <row r="105" spans="2:6" x14ac:dyDescent="0.25">
      <c r="B105" s="14">
        <f>B104+D104*$L$4</f>
        <v>54.383367657251334</v>
      </c>
      <c r="C105" s="10">
        <f>C104+E104*$L$4</f>
        <v>1.6131360747218779</v>
      </c>
      <c r="D105" s="10">
        <f>B105*($H$4-$I$4*C105)</f>
        <v>45.610590433973819</v>
      </c>
      <c r="E105" s="10">
        <f>C105*(-$J$4+$K$4*B105)</f>
        <v>0.94798740729456399</v>
      </c>
      <c r="F105" s="15">
        <f>F104+$L$4</f>
        <v>10.09999999999998</v>
      </c>
    </row>
    <row r="106" spans="2:6" x14ac:dyDescent="0.25">
      <c r="B106" s="14">
        <f>B105+D105*$L$4</f>
        <v>58.944426700648719</v>
      </c>
      <c r="C106" s="10">
        <f>C105+E105*$L$4</f>
        <v>1.7079348154513343</v>
      </c>
      <c r="D106" s="10">
        <f>B106*($H$4-$I$4*C106)</f>
        <v>48.877102846763002</v>
      </c>
      <c r="E106" s="10">
        <f>C106*(-$J$4+$K$4*B106)</f>
        <v>1.1594973630514764</v>
      </c>
      <c r="F106" s="15">
        <f>F105+$L$4</f>
        <v>10.19999999999998</v>
      </c>
    </row>
    <row r="107" spans="2:6" x14ac:dyDescent="0.25">
      <c r="B107" s="14">
        <f>B106+D106*$L$4</f>
        <v>63.832136985325022</v>
      </c>
      <c r="C107" s="10">
        <f>C106+E106*$L$4</f>
        <v>1.8238845517564819</v>
      </c>
      <c r="D107" s="10">
        <f>B107*($H$4-$I$4*C107)</f>
        <v>52.189892130011238</v>
      </c>
      <c r="E107" s="10">
        <f>C107*(-$J$4+$K$4*B107)</f>
        <v>1.4165066951845169</v>
      </c>
      <c r="F107" s="15">
        <f>F106+$L$4</f>
        <v>10.299999999999979</v>
      </c>
    </row>
    <row r="108" spans="2:6" x14ac:dyDescent="0.25">
      <c r="B108" s="14">
        <f>B107+D107*$L$4</f>
        <v>69.051126198326145</v>
      </c>
      <c r="C108" s="10">
        <f>C107+E107*$L$4</f>
        <v>1.9655352212749335</v>
      </c>
      <c r="D108" s="10">
        <f>B108*($H$4-$I$4*C108)</f>
        <v>55.478884137175115</v>
      </c>
      <c r="E108" s="10">
        <f>C108*(-$J$4+$K$4*B108)</f>
        <v>1.7316808015927403</v>
      </c>
      <c r="F108" s="15">
        <f>F107+$L$4</f>
        <v>10.399999999999979</v>
      </c>
    </row>
    <row r="109" spans="2:6" x14ac:dyDescent="0.25">
      <c r="B109" s="14">
        <f>B108+D108*$L$4</f>
        <v>74.599014612043661</v>
      </c>
      <c r="C109" s="10">
        <f>C108+E108*$L$4</f>
        <v>2.1387033014342074</v>
      </c>
      <c r="D109" s="10">
        <f>B109*($H$4-$I$4*C109)</f>
        <v>58.644498728592019</v>
      </c>
      <c r="E109" s="10">
        <f>C109*(-$J$4+$K$4*B109)</f>
        <v>2.1215515259732252</v>
      </c>
      <c r="F109" s="15">
        <f>F108+$L$4</f>
        <v>10.499999999999979</v>
      </c>
    </row>
    <row r="110" spans="2:6" x14ac:dyDescent="0.25">
      <c r="B110" s="14">
        <f>B109+D109*$L$4</f>
        <v>80.463464484902858</v>
      </c>
      <c r="C110" s="10">
        <f>C109+E109*$L$4</f>
        <v>2.3508584540315298</v>
      </c>
      <c r="D110" s="10">
        <f>B110*($H$4-$I$4*C110)</f>
        <v>61.547642912402893</v>
      </c>
      <c r="E110" s="10">
        <f>C110*(-$J$4+$K$4*B110)</f>
        <v>2.6077350874842278</v>
      </c>
      <c r="F110" s="15">
        <f>F109+$L$4</f>
        <v>10.599999999999978</v>
      </c>
    </row>
    <row r="111" spans="2:6" x14ac:dyDescent="0.25">
      <c r="B111" s="14">
        <f>B110+D110*$L$4</f>
        <v>86.618228776143141</v>
      </c>
      <c r="C111" s="10">
        <f>C110+E110*$L$4</f>
        <v>2.6116319627799527</v>
      </c>
      <c r="D111" s="10">
        <f>B111*($H$4-$I$4*C111)</f>
        <v>63.996735293026973</v>
      </c>
      <c r="E111" s="10">
        <f>C111*(-$J$4+$K$4*B111)</f>
        <v>3.2184827152332578</v>
      </c>
      <c r="F111" s="15">
        <f>F110+$L$4</f>
        <v>10.699999999999978</v>
      </c>
    </row>
    <row r="112" spans="2:6" x14ac:dyDescent="0.25">
      <c r="B112" s="14">
        <f>B111+D111*$L$4</f>
        <v>93.017902305445844</v>
      </c>
      <c r="C112" s="10">
        <f>C111+E111*$L$4</f>
        <v>2.9334802343032784</v>
      </c>
      <c r="D112" s="10">
        <f>B112*($H$4-$I$4*C112)</f>
        <v>65.73128452050797</v>
      </c>
      <c r="E112" s="10">
        <f>C112*(-$J$4+$K$4*B112)</f>
        <v>3.9905834398359357</v>
      </c>
      <c r="F112" s="15">
        <f>F111+$L$4</f>
        <v>10.799999999999978</v>
      </c>
    </row>
    <row r="113" spans="2:6" x14ac:dyDescent="0.25">
      <c r="B113" s="14">
        <f>B112+D112*$L$4</f>
        <v>99.59103075749664</v>
      </c>
      <c r="C113" s="10">
        <f>C112+E112*$L$4</f>
        <v>3.3325385782868722</v>
      </c>
      <c r="D113" s="10">
        <f>B113*($H$4-$I$4*C113)</f>
        <v>66.401935552425442</v>
      </c>
      <c r="E113" s="10">
        <f>C113*(-$J$4+$K$4*B113)</f>
        <v>4.9715497518708043</v>
      </c>
      <c r="F113" s="15">
        <f>F112+$L$4</f>
        <v>10.899999999999977</v>
      </c>
    </row>
    <row r="114" spans="2:6" x14ac:dyDescent="0.25">
      <c r="B114" s="14">
        <f>B113+D113*$L$4</f>
        <v>106.23122431273919</v>
      </c>
      <c r="C114" s="10">
        <f>C113+E113*$L$4</f>
        <v>3.8296935534739527</v>
      </c>
      <c r="D114" s="10">
        <f>B114*($H$4-$I$4*C114)</f>
        <v>65.547920819924911</v>
      </c>
      <c r="E114" s="10">
        <f>C114*(-$J$4+$K$4*B114)</f>
        <v>6.2218139218258779</v>
      </c>
      <c r="F114" s="15">
        <f>F113+$L$4</f>
        <v>10.999999999999977</v>
      </c>
    </row>
    <row r="115" spans="2:6" x14ac:dyDescent="0.25">
      <c r="B115" s="14">
        <f>B114+D114*$L$4</f>
        <v>112.78601639473167</v>
      </c>
      <c r="C115" s="10">
        <f>C114+E114*$L$4</f>
        <v>4.4518749456565407</v>
      </c>
      <c r="D115" s="10">
        <f>B115*($H$4-$I$4*C115)</f>
        <v>62.575092333920296</v>
      </c>
      <c r="E115" s="10">
        <f>C115*(-$J$4+$K$4*B115)</f>
        <v>7.8162473393340051</v>
      </c>
      <c r="F115" s="15">
        <f>F114+$L$4</f>
        <v>11.099999999999977</v>
      </c>
    </row>
    <row r="116" spans="2:6" x14ac:dyDescent="0.25">
      <c r="B116" s="14">
        <f>B115+D115*$L$4</f>
        <v>119.0435256281237</v>
      </c>
      <c r="C116" s="10">
        <f>C115+E115*$L$4</f>
        <v>5.2334996795899418</v>
      </c>
      <c r="D116" s="10">
        <f>B116*($H$4-$I$4*C116)</f>
        <v>56.742100304919454</v>
      </c>
      <c r="E116" s="10">
        <f>C116*(-$J$4+$K$4*B116)</f>
        <v>9.8435352248458781</v>
      </c>
      <c r="F116" s="15">
        <f>F115+$L$4</f>
        <v>11.199999999999976</v>
      </c>
    </row>
    <row r="117" spans="2:6" x14ac:dyDescent="0.25">
      <c r="B117" s="14">
        <f>B116+D116*$L$4</f>
        <v>124.71773565861565</v>
      </c>
      <c r="C117" s="10">
        <f>C116+E116*$L$4</f>
        <v>6.2178532020745294</v>
      </c>
      <c r="D117" s="10">
        <f>B117*($H$4-$I$4*C117)</f>
        <v>47.170078456574835</v>
      </c>
      <c r="E117" s="10">
        <f>C117*(-$J$4+$K$4*B117)</f>
        <v>12.400604839370898</v>
      </c>
      <c r="F117" s="15">
        <f>F116+$L$4</f>
        <v>11.299999999999976</v>
      </c>
    </row>
    <row r="118" spans="2:6" x14ac:dyDescent="0.25">
      <c r="B118" s="14">
        <f>B117+D117*$L$4</f>
        <v>129.43474350427314</v>
      </c>
      <c r="C118" s="10">
        <f>C117+E117*$L$4</f>
        <v>7.4579136860116195</v>
      </c>
      <c r="D118" s="10">
        <f>B118*($H$4-$I$4*C118)</f>
        <v>32.903429001680912</v>
      </c>
      <c r="E118" s="10">
        <f>C118*(-$J$4+$K$4*B118)</f>
        <v>15.577306057512637</v>
      </c>
      <c r="F118" s="15">
        <f>F117+$L$4</f>
        <v>11.399999999999975</v>
      </c>
    </row>
    <row r="119" spans="2:6" x14ac:dyDescent="0.25">
      <c r="B119" s="14">
        <f>B118+D118*$L$4</f>
        <v>132.72508640444124</v>
      </c>
      <c r="C119" s="10">
        <f>C118+E118*$L$4</f>
        <v>9.0156442917628823</v>
      </c>
      <c r="D119" s="10">
        <f>B119*($H$4-$I$4*C119)</f>
        <v>13.064869642847629</v>
      </c>
      <c r="E119" s="10">
        <f>C119*(-$J$4+$K$4*B119)</f>
        <v>19.424221206437281</v>
      </c>
      <c r="F119" s="15">
        <f>F118+$L$4</f>
        <v>11.499999999999975</v>
      </c>
    </row>
    <row r="120" spans="2:6" x14ac:dyDescent="0.25">
      <c r="B120" s="14">
        <f>B119+D119*$L$4</f>
        <v>134.03157336872601</v>
      </c>
      <c r="C120" s="10">
        <f>C119+E119*$L$4</f>
        <v>10.958066412406611</v>
      </c>
      <c r="D120" s="10">
        <f>B120*($H$4-$I$4*C120)</f>
        <v>-12.841114864658875</v>
      </c>
      <c r="E120" s="10">
        <f>C120*(-$J$4+$K$4*B120)</f>
        <v>23.895504440473673</v>
      </c>
      <c r="F120" s="15">
        <f>F119+$L$4</f>
        <v>11.599999999999975</v>
      </c>
    </row>
    <row r="121" spans="2:6" x14ac:dyDescent="0.25">
      <c r="B121" s="14">
        <f>B120+D120*$L$4</f>
        <v>132.74746188226013</v>
      </c>
      <c r="C121" s="10">
        <f>C120+E120*$L$4</f>
        <v>13.347616856453978</v>
      </c>
      <c r="D121" s="10">
        <f>B121*($H$4-$I$4*C121)</f>
        <v>-44.438764104853604</v>
      </c>
      <c r="E121" s="10">
        <f>C121*(-$J$4+$K$4*B121)</f>
        <v>28.763436769195753</v>
      </c>
      <c r="F121" s="15">
        <f>F120+$L$4</f>
        <v>11.699999999999974</v>
      </c>
    </row>
    <row r="122" spans="2:6" x14ac:dyDescent="0.25">
      <c r="B122" s="14">
        <f>B121+D121*$L$4</f>
        <v>128.30358547177477</v>
      </c>
      <c r="C122" s="10">
        <f>C121+E121*$L$4</f>
        <v>16.223960533373553</v>
      </c>
      <c r="D122" s="10">
        <f>B122*($H$4-$I$4*C122)</f>
        <v>-79.855645226664663</v>
      </c>
      <c r="E122" s="10">
        <f>C122*(-$J$4+$K$4*B122)</f>
        <v>33.519865873001109</v>
      </c>
      <c r="F122" s="15">
        <f>F121+$L$4</f>
        <v>11.799999999999974</v>
      </c>
    </row>
    <row r="123" spans="2:6" x14ac:dyDescent="0.25">
      <c r="B123" s="14">
        <f>B122+D122*$L$4</f>
        <v>120.3180209491083</v>
      </c>
      <c r="C123" s="10">
        <f>C122+E122*$L$4</f>
        <v>19.575947120673664</v>
      </c>
      <c r="D123" s="10">
        <f>B123*($H$4-$I$4*C123)</f>
        <v>-115.21590062727672</v>
      </c>
      <c r="E123" s="10">
        <f>C123*(-$J$4+$K$4*B123)</f>
        <v>37.318810754940174</v>
      </c>
      <c r="F123" s="15">
        <f>F122+$L$4</f>
        <v>11.899999999999974</v>
      </c>
    </row>
    <row r="124" spans="2:6" x14ac:dyDescent="0.25">
      <c r="B124" s="14">
        <f>B123+D123*$L$4</f>
        <v>108.79643088638063</v>
      </c>
      <c r="C124" s="10">
        <f>C123+E123*$L$4</f>
        <v>23.307828196167684</v>
      </c>
      <c r="D124" s="10">
        <f>B124*($H$4-$I$4*C124)</f>
        <v>-144.78442105921849</v>
      </c>
      <c r="E124" s="10">
        <f>C124*(-$J$4+$K$4*B124)</f>
        <v>39.062256291035986</v>
      </c>
      <c r="F124" s="15">
        <f>F123+$L$4</f>
        <v>11.999999999999973</v>
      </c>
    </row>
    <row r="125" spans="2:6" x14ac:dyDescent="0.25">
      <c r="B125" s="14">
        <f>B124+D124*$L$4</f>
        <v>94.317988780458791</v>
      </c>
      <c r="C125" s="10">
        <f>C124+E124*$L$4</f>
        <v>27.214053825271282</v>
      </c>
      <c r="D125" s="10">
        <f>B125*($H$4-$I$4*C125)</f>
        <v>-162.35949355581508</v>
      </c>
      <c r="E125" s="10">
        <f>C125*(-$J$4+$K$4*B125)</f>
        <v>37.728469554619132</v>
      </c>
      <c r="F125" s="15">
        <f>F124+$L$4</f>
        <v>12.099999999999973</v>
      </c>
    </row>
    <row r="126" spans="2:6" x14ac:dyDescent="0.25">
      <c r="B126" s="14">
        <f>B125+D125*$L$4</f>
        <v>78.08203942487728</v>
      </c>
      <c r="C126" s="10">
        <f>C125+E125*$L$4</f>
        <v>30.986900780733194</v>
      </c>
      <c r="D126" s="10">
        <f>B126*($H$4-$I$4*C126)</f>
        <v>-163.87000141671973</v>
      </c>
      <c r="E126" s="10">
        <f>C126*(-$J$4+$K$4*B126)</f>
        <v>32.8969577779528</v>
      </c>
      <c r="F126" s="15">
        <f>F125+$L$4</f>
        <v>12.199999999999973</v>
      </c>
    </row>
    <row r="127" spans="2:6" x14ac:dyDescent="0.25">
      <c r="B127" s="14">
        <f>B126+D126*$L$4</f>
        <v>61.695039283205304</v>
      </c>
      <c r="C127" s="10">
        <f>C126+E126*$L$4</f>
        <v>34.276596558528475</v>
      </c>
      <c r="D127" s="10">
        <f>B127*($H$4-$I$4*C127)</f>
        <v>-149.77455783409411</v>
      </c>
      <c r="E127" s="10">
        <f>C127*(-$J$4+$K$4*B127)</f>
        <v>25.155621144195646</v>
      </c>
      <c r="F127" s="15">
        <f>F126+$L$4</f>
        <v>12.299999999999972</v>
      </c>
    </row>
    <row r="128" spans="2:6" x14ac:dyDescent="0.25">
      <c r="B128" s="14">
        <f>B127+D127*$L$4</f>
        <v>46.717583499795893</v>
      </c>
      <c r="C128" s="10">
        <f>C127+E127*$L$4</f>
        <v>36.792158672948041</v>
      </c>
      <c r="D128" s="10">
        <f>B128*($H$4-$I$4*C128)</f>
        <v>-125.16649099432308</v>
      </c>
      <c r="E128" s="10">
        <f>C128*(-$J$4+$K$4*B128)</f>
        <v>15.980735562349777</v>
      </c>
      <c r="F128" s="15">
        <f>F127+$L$4</f>
        <v>12.399999999999972</v>
      </c>
    </row>
    <row r="129" spans="2:6" x14ac:dyDescent="0.25">
      <c r="B129" s="14">
        <f>B128+D128*$L$4</f>
        <v>34.200934400363586</v>
      </c>
      <c r="C129" s="10">
        <f>C128+E128*$L$4</f>
        <v>38.39023222918302</v>
      </c>
      <c r="D129" s="10">
        <f>B129*($H$4-$I$4*C129)</f>
        <v>-97.097247008137657</v>
      </c>
      <c r="E129" s="10">
        <f>C129*(-$J$4+$K$4*B129)</f>
        <v>7.0645201671087383</v>
      </c>
      <c r="F129" s="15">
        <f>F128+$L$4</f>
        <v>12.499999999999972</v>
      </c>
    </row>
    <row r="130" spans="2:6" x14ac:dyDescent="0.25">
      <c r="B130" s="14">
        <f>B129+D129*$L$4</f>
        <v>24.49120969954982</v>
      </c>
      <c r="C130" s="10">
        <f>C129+E129*$L$4</f>
        <v>39.096684245893897</v>
      </c>
      <c r="D130" s="10">
        <f>B130*($H$4-$I$4*C130)</f>
        <v>-71.261299542777508</v>
      </c>
      <c r="E130" s="10">
        <f>C130*(-$J$4+$K$4*B130)</f>
        <v>-0.3978402744814829</v>
      </c>
      <c r="F130" s="15">
        <f>F129+$L$4</f>
        <v>12.599999999999971</v>
      </c>
    </row>
    <row r="131" spans="2:6" x14ac:dyDescent="0.25">
      <c r="B131" s="14">
        <f>B130+D130*$L$4</f>
        <v>17.36507974527207</v>
      </c>
      <c r="C131" s="10">
        <f>C130+E130*$L$4</f>
        <v>39.056900218445747</v>
      </c>
      <c r="D131" s="10">
        <f>B131*($H$4-$I$4*C131)</f>
        <v>-50.457538944372388</v>
      </c>
      <c r="E131" s="10">
        <f>C131*(-$J$4+$K$4*B131)</f>
        <v>-5.9639263712939838</v>
      </c>
      <c r="F131" s="15">
        <f>F130+$L$4</f>
        <v>12.699999999999971</v>
      </c>
    </row>
    <row r="132" spans="2:6" x14ac:dyDescent="0.25">
      <c r="B132" s="14">
        <f>B131+D131*$L$4</f>
        <v>12.319325850834829</v>
      </c>
      <c r="C132" s="10">
        <f>C131+E131*$L$4</f>
        <v>38.46050758131635</v>
      </c>
      <c r="D132" s="10">
        <f>B132*($H$4-$I$4*C132)</f>
        <v>-35.061426677439115</v>
      </c>
      <c r="E132" s="10">
        <f>C132*(-$J$4+$K$4*B132)</f>
        <v>-9.7541032850033869</v>
      </c>
      <c r="F132" s="15">
        <f>F131+$L$4</f>
        <v>12.799999999999971</v>
      </c>
    </row>
    <row r="133" spans="2:6" x14ac:dyDescent="0.25">
      <c r="B133" s="14">
        <f>B132+D132*$L$4</f>
        <v>8.8131831830909171</v>
      </c>
      <c r="C133" s="10">
        <f>C132+E132*$L$4</f>
        <v>37.485097252816011</v>
      </c>
      <c r="D133" s="10">
        <f>B133*($H$4-$I$4*C133)</f>
        <v>-24.223119689413647</v>
      </c>
      <c r="E133" s="10">
        <f>C133*(-$J$4+$K$4*B133)</f>
        <v>-12.135288051907093</v>
      </c>
      <c r="F133" s="15">
        <f>F132+$L$4</f>
        <v>12.89999999999997</v>
      </c>
    </row>
    <row r="134" spans="2:6" x14ac:dyDescent="0.25">
      <c r="B134" s="14">
        <f>B133+D133*$L$4</f>
        <v>6.3908712141495521</v>
      </c>
      <c r="C134" s="10">
        <f>C133+E133*$L$4</f>
        <v>36.271568447625299</v>
      </c>
      <c r="D134" s="10">
        <f>B134*($H$4-$I$4*C134)</f>
        <v>-16.789821054248815</v>
      </c>
      <c r="E134" s="10">
        <f>C134*(-$J$4+$K$4*B134)</f>
        <v>-13.499645770132977</v>
      </c>
      <c r="F134" s="15">
        <f>F133+$L$4</f>
        <v>12.99999999999997</v>
      </c>
    </row>
    <row r="135" spans="2:6" x14ac:dyDescent="0.25">
      <c r="B135" s="14">
        <f>B134+D134*$L$4</f>
        <v>4.7118891087246704</v>
      </c>
      <c r="C135" s="10">
        <f>C134+E134*$L$4</f>
        <v>34.921603870612003</v>
      </c>
      <c r="D135" s="10">
        <f>B135*($H$4-$I$4*C135)</f>
        <v>-11.74278338498873</v>
      </c>
      <c r="E135" s="10">
        <f>C135*(-$J$4+$K$4*B135)</f>
        <v>-14.169867436563322</v>
      </c>
      <c r="F135" s="15">
        <f>F134+$L$4</f>
        <v>13.099999999999969</v>
      </c>
    </row>
    <row r="136" spans="2:6" x14ac:dyDescent="0.25">
      <c r="B136" s="14">
        <f>B135+D135*$L$4</f>
        <v>3.5376107702257973</v>
      </c>
      <c r="C136" s="10">
        <f>C135+E135*$L$4</f>
        <v>33.504617126955672</v>
      </c>
      <c r="D136" s="10">
        <f>B136*($H$4-$I$4*C136)</f>
        <v>-8.3150186698352133</v>
      </c>
      <c r="E136" s="10">
        <f>C136*(-$J$4+$K$4*B136)</f>
        <v>-14.381782675465635</v>
      </c>
      <c r="F136" s="15">
        <f>F135+$L$4</f>
        <v>13.199999999999969</v>
      </c>
    </row>
    <row r="137" spans="2:6" x14ac:dyDescent="0.25">
      <c r="B137" s="14">
        <f>B136+D136*$L$4</f>
        <v>2.706108903242276</v>
      </c>
      <c r="C137" s="10">
        <f>C136+E136*$L$4</f>
        <v>32.066438859409111</v>
      </c>
      <c r="D137" s="10">
        <f>B137*($H$4-$I$4*C137)</f>
        <v>-5.9714186660298338</v>
      </c>
      <c r="E137" s="10">
        <f>C137*(-$J$4+$K$4*B137)</f>
        <v>-14.297713915850133</v>
      </c>
      <c r="F137" s="15">
        <f>F136+$L$4</f>
        <v>13.299999999999969</v>
      </c>
    </row>
    <row r="138" spans="2:6" x14ac:dyDescent="0.25">
      <c r="B138" s="14">
        <f>B137+D137*$L$4</f>
        <v>2.1089670366392927</v>
      </c>
      <c r="C138" s="10">
        <f>C137+E137*$L$4</f>
        <v>30.636667467824097</v>
      </c>
      <c r="D138" s="10">
        <f>B138*($H$4-$I$4*C138)</f>
        <v>-4.352205143572748</v>
      </c>
      <c r="E138" s="10">
        <f>C138*(-$J$4+$K$4*B138)</f>
        <v>-14.02609929786964</v>
      </c>
      <c r="F138" s="15">
        <f>F137+$L$4</f>
        <v>13.399999999999968</v>
      </c>
    </row>
    <row r="139" spans="2:6" x14ac:dyDescent="0.25">
      <c r="B139" s="14">
        <f>B138+D138*$L$4</f>
        <v>1.673746522282018</v>
      </c>
      <c r="C139" s="10">
        <f>C138+E138*$L$4</f>
        <v>29.234057538037131</v>
      </c>
      <c r="D139" s="10">
        <f>B139*($H$4-$I$4*C139)</f>
        <v>-3.2192936913661887</v>
      </c>
      <c r="E139" s="10">
        <f>C139*(-$J$4+$K$4*B139)</f>
        <v>-13.638420726288924</v>
      </c>
      <c r="F139" s="15">
        <f>F138+$L$4</f>
        <v>13.499999999999968</v>
      </c>
    </row>
    <row r="140" spans="2:6" x14ac:dyDescent="0.25">
      <c r="B140" s="14">
        <f>B139+D139*$L$4</f>
        <v>1.3518171531453991</v>
      </c>
      <c r="C140" s="10">
        <f>C139+E139*$L$4</f>
        <v>27.87021546540824</v>
      </c>
      <c r="D140" s="10">
        <f>B140*($H$4-$I$4*C140)</f>
        <v>-2.4157263796543056</v>
      </c>
      <c r="E140" s="10">
        <f>C140*(-$J$4+$K$4*B140)</f>
        <v>-13.181599026144179</v>
      </c>
      <c r="F140" s="15">
        <f>F139+$L$4</f>
        <v>13.599999999999968</v>
      </c>
    </row>
    <row r="141" spans="2:6" x14ac:dyDescent="0.25">
      <c r="B141" s="14">
        <f>B140+D140*$L$4</f>
        <v>1.1102445151799685</v>
      </c>
      <c r="C141" s="10">
        <f>C140+E140*$L$4</f>
        <v>26.552055562793822</v>
      </c>
      <c r="D141" s="10">
        <f>B141*($H$4-$I$4*C141)</f>
        <v>-1.8376828903545928</v>
      </c>
      <c r="E141" s="10">
        <f>C141*(-$J$4+$K$4*B141)</f>
        <v>-12.686442300289999</v>
      </c>
      <c r="F141" s="15">
        <f>F140+$L$4</f>
        <v>13.699999999999967</v>
      </c>
    </row>
    <row r="142" spans="2:6" x14ac:dyDescent="0.25">
      <c r="B142" s="14">
        <f>B141+D141*$L$4</f>
        <v>0.9264762261445092</v>
      </c>
      <c r="C142" s="10">
        <f>C141+E141*$L$4</f>
        <v>25.283411332764821</v>
      </c>
      <c r="D142" s="10">
        <f>B142*($H$4-$I$4*C142)</f>
        <v>-1.4159717254194177</v>
      </c>
      <c r="E142" s="10">
        <f>C142*(-$J$4+$K$4*B142)</f>
        <v>-12.173216076069625</v>
      </c>
      <c r="F142" s="15">
        <f>F141+$L$4</f>
        <v>13.799999999999967</v>
      </c>
    </row>
    <row r="143" spans="2:6" x14ac:dyDescent="0.25">
      <c r="B143" s="14">
        <f>B142+D142*$L$4</f>
        <v>0.78487905360256738</v>
      </c>
      <c r="C143" s="10">
        <f>C142+E142*$L$4</f>
        <v>24.066089725157859</v>
      </c>
      <c r="D143" s="10">
        <f>B143*($H$4-$I$4*C143)</f>
        <v>-1.1040179191370698</v>
      </c>
      <c r="E143" s="10">
        <f>C143*(-$J$4+$K$4*B143)</f>
        <v>-11.655265468031002</v>
      </c>
      <c r="F143" s="15">
        <f>F142+$L$4</f>
        <v>13.899999999999967</v>
      </c>
    </row>
    <row r="144" spans="2:6" x14ac:dyDescent="0.25">
      <c r="B144" s="14">
        <f>B143+D143*$L$4</f>
        <v>0.67447726168886035</v>
      </c>
      <c r="C144" s="10">
        <f>C143+E143*$L$4</f>
        <v>22.900563178354759</v>
      </c>
      <c r="D144" s="10">
        <f>B144*($H$4-$I$4*C144)</f>
        <v>-0.87011365267808594</v>
      </c>
      <c r="E144" s="10">
        <f>C144*(-$J$4+$K$4*B144)</f>
        <v>-11.14136340630399</v>
      </c>
      <c r="F144" s="15">
        <f>F143+$L$4</f>
        <v>13.999999999999966</v>
      </c>
    </row>
    <row r="145" spans="2:6" x14ac:dyDescent="0.25">
      <c r="B145" s="14">
        <f>B144+D144*$L$4</f>
        <v>0.58746589642105174</v>
      </c>
      <c r="C145" s="10">
        <f>C144+E144*$L$4</f>
        <v>21.78642683772436</v>
      </c>
      <c r="D145" s="10">
        <f>B145*($H$4-$I$4*C145)</f>
        <v>-0.69241238078248835</v>
      </c>
      <c r="E145" s="10">
        <f>C145*(-$J$4+$K$4*B145)</f>
        <v>-10.637237763421473</v>
      </c>
      <c r="F145" s="15">
        <f>F144+$L$4</f>
        <v>14.099999999999966</v>
      </c>
    </row>
    <row r="146" spans="2:6" x14ac:dyDescent="0.25">
      <c r="B146" s="14">
        <f>B145+D145*$L$4</f>
        <v>0.51822465834280296</v>
      </c>
      <c r="C146" s="10">
        <f>C145+E145*$L$4</f>
        <v>20.722703061382212</v>
      </c>
      <c r="D146" s="10">
        <f>B146*($H$4-$I$4*C146)</f>
        <v>-0.55567691304961253</v>
      </c>
      <c r="E146" s="10">
        <f>C146*(-$J$4+$K$4*B146)</f>
        <v>-10.146571216412623</v>
      </c>
      <c r="F146" s="15">
        <f>F145+$L$4</f>
        <v>14.199999999999966</v>
      </c>
    </row>
    <row r="147" spans="2:6" x14ac:dyDescent="0.25">
      <c r="B147" s="14">
        <f>B146+D146*$L$4</f>
        <v>0.4626569670378417</v>
      </c>
      <c r="C147" s="10">
        <f>C146+E146*$L$4</f>
        <v>19.708045939740948</v>
      </c>
      <c r="D147" s="10">
        <f>B147*($H$4-$I$4*C147)</f>
        <v>-0.44914950903445816</v>
      </c>
      <c r="E147" s="10">
        <f>C147*(-$J$4+$K$4*B147)</f>
        <v>-9.6716616746560149</v>
      </c>
      <c r="F147" s="15">
        <f>F146+$L$4</f>
        <v>14.299999999999965</v>
      </c>
    </row>
    <row r="148" spans="2:6" x14ac:dyDescent="0.25">
      <c r="B148" s="14">
        <f>B147+D147*$L$4</f>
        <v>0.41774201613439588</v>
      </c>
      <c r="C148" s="10">
        <f>C147+E147*$L$4</f>
        <v>18.740879772275346</v>
      </c>
      <c r="D148" s="10">
        <f>B148*($H$4-$I$4*C148)</f>
        <v>-0.36514327388586626</v>
      </c>
      <c r="E148" s="10">
        <f>C148*(-$J$4+$K$4*B148)</f>
        <v>-9.213862828133621</v>
      </c>
      <c r="F148" s="15">
        <f>F147+$L$4</f>
        <v>14.399999999999965</v>
      </c>
    </row>
    <row r="149" spans="2:6" x14ac:dyDescent="0.25">
      <c r="B149" s="14">
        <f>B148+D148*$L$4</f>
        <v>0.38122768874580926</v>
      </c>
      <c r="C149" s="10">
        <f>C148+E148*$L$4</f>
        <v>17.819493489461983</v>
      </c>
      <c r="D149" s="10">
        <f>B149*($H$4-$I$4*C149)</f>
        <v>-0.29810074301504952</v>
      </c>
      <c r="E149" s="10">
        <f>C149*(-$J$4+$K$4*B149)</f>
        <v>-8.7738810583788212</v>
      </c>
      <c r="F149" s="15">
        <f>F148+$L$4</f>
        <v>14.499999999999964</v>
      </c>
    </row>
    <row r="150" spans="2:6" x14ac:dyDescent="0.25">
      <c r="B150" s="14">
        <f>B149+D149*$L$4</f>
        <v>0.3514176144443043</v>
      </c>
      <c r="C150" s="10">
        <f>C149+E149*$L$4</f>
        <v>16.942105383624103</v>
      </c>
      <c r="D150" s="10">
        <f>B150*($H$4-$I$4*C150)</f>
        <v>-0.24395781131341446</v>
      </c>
      <c r="E150" s="10">
        <f>C150*(-$J$4+$K$4*B150)</f>
        <v>-8.3519776066605083</v>
      </c>
      <c r="F150" s="15">
        <f>F149+$L$4</f>
        <v>14.599999999999964</v>
      </c>
    </row>
    <row r="151" spans="2:6" x14ac:dyDescent="0.25">
      <c r="B151" s="14">
        <f>B150+D150*$L$4</f>
        <v>0.32702183331296286</v>
      </c>
      <c r="C151" s="10">
        <f>C150+E150*$L$4</f>
        <v>16.106907622958051</v>
      </c>
      <c r="D151" s="10">
        <f>B151*($H$4-$I$4*C151)</f>
        <v>-0.199709212673265</v>
      </c>
      <c r="E151" s="10">
        <f>C151*(-$J$4+$K$4*B151)</f>
        <v>-7.9481076022817803</v>
      </c>
      <c r="F151" s="15">
        <f>F150+$L$4</f>
        <v>14.699999999999964</v>
      </c>
    </row>
    <row r="152" spans="2:6" x14ac:dyDescent="0.25">
      <c r="B152" s="14">
        <f>B151+D151*$L$4</f>
        <v>0.30705091204563634</v>
      </c>
      <c r="C152" s="10">
        <f>C151+E151*$L$4</f>
        <v>15.312096862729874</v>
      </c>
      <c r="D152" s="10">
        <f>B152*($H$4-$I$4*C152)</f>
        <v>-0.16310841865759712</v>
      </c>
      <c r="E152" s="10">
        <f>C152*(-$J$4+$K$4*B152)</f>
        <v>-7.5620165652242903</v>
      </c>
      <c r="F152" s="15">
        <f>F151+$L$4</f>
        <v>14.799999999999963</v>
      </c>
    </row>
    <row r="153" spans="2:6" x14ac:dyDescent="0.25">
      <c r="B153" s="14">
        <f>B152+D152*$L$4</f>
        <v>0.29074007017987663</v>
      </c>
      <c r="C153" s="10">
        <f>C152+E152*$L$4</f>
        <v>14.555895206207445</v>
      </c>
      <c r="D153" s="10">
        <f>B153*($H$4-$I$4*C153)</f>
        <v>-0.13245812919849162</v>
      </c>
      <c r="E153" s="10">
        <f>C153*(-$J$4+$K$4*B153)</f>
        <v>-7.1933079632280492</v>
      </c>
      <c r="F153" s="15">
        <f>F152+$L$4</f>
        <v>14.899999999999963</v>
      </c>
    </row>
    <row r="154" spans="2:6" x14ac:dyDescent="0.25">
      <c r="B154" s="14">
        <f>B153+D153*$L$4</f>
        <v>0.27749425726002747</v>
      </c>
      <c r="C154" s="10">
        <f>C153+E153*$L$4</f>
        <v>13.836564409884641</v>
      </c>
      <c r="D154" s="10">
        <f>B154*($H$4-$I$4*C154)</f>
        <v>-0.10646245913511942</v>
      </c>
      <c r="E154" s="10">
        <f>C154*(-$J$4+$K$4*B154)</f>
        <v>-6.8414908616632912</v>
      </c>
      <c r="F154" s="15">
        <f>F153+$L$4</f>
        <v>14.999999999999963</v>
      </c>
    </row>
    <row r="155" spans="2:6" x14ac:dyDescent="0.25">
      <c r="B155" s="14">
        <f>B154+D154*$L$4</f>
        <v>0.26684801134651553</v>
      </c>
      <c r="C155" s="10">
        <f>C154+E154*$L$4</f>
        <v>13.152415323718312</v>
      </c>
      <c r="D155" s="10">
        <f>B155*($H$4-$I$4*C155)</f>
        <v>-8.4121576007251411E-2</v>
      </c>
      <c r="E155" s="10">
        <f>C155*(-$J$4+$K$4*B155)</f>
        <v>-6.5060137443884027</v>
      </c>
      <c r="F155" s="15">
        <f>F154+$L$4</f>
        <v>15.099999999999962</v>
      </c>
    </row>
    <row r="156" spans="2:6" x14ac:dyDescent="0.25">
      <c r="B156" s="14">
        <f>B155+D155*$L$4</f>
        <v>0.25843585374579037</v>
      </c>
      <c r="C156" s="10">
        <f>C155+E155*$L$4</f>
        <v>12.501813949279471</v>
      </c>
      <c r="D156" s="10">
        <f>B156*($H$4-$I$4*C156)</f>
        <v>-6.4655842389516785E-2</v>
      </c>
      <c r="E156" s="10">
        <f>C156*(-$J$4+$K$4*B156)</f>
        <v>-6.1862886354126747</v>
      </c>
      <c r="F156" s="15">
        <f>F155+$L$4</f>
        <v>15.199999999999962</v>
      </c>
    </row>
    <row r="157" spans="2:6" x14ac:dyDescent="0.25">
      <c r="B157" s="14">
        <f>B156+D156*$L$4</f>
        <v>0.25197026950683871</v>
      </c>
      <c r="C157" s="10">
        <f>C156+E156*$L$4</f>
        <v>11.883185085738203</v>
      </c>
      <c r="D157" s="10">
        <f>B157*($H$4-$I$4*C157)</f>
        <v>-4.7450665358471436E-2</v>
      </c>
      <c r="E157" s="10">
        <f>C157*(-$J$4+$K$4*B157)</f>
        <v>-5.8817083558960395</v>
      </c>
      <c r="F157" s="15">
        <f>F156+$L$4</f>
        <v>15.299999999999962</v>
      </c>
    </row>
    <row r="158" spans="2:6" x14ac:dyDescent="0.25">
      <c r="B158" s="14">
        <f>B157+D157*$L$4</f>
        <v>0.24722520297099157</v>
      </c>
      <c r="C158" s="10">
        <f>C157+E157*$L$4</f>
        <v>11.295014250148599</v>
      </c>
      <c r="D158" s="10">
        <f>B158*($H$4-$I$4*C158)</f>
        <v>-3.201601608433137E-2</v>
      </c>
      <c r="E158" s="10">
        <f>C158*(-$J$4+$K$4*B158)</f>
        <v>-5.5916588812632346</v>
      </c>
      <c r="F158" s="15">
        <f>F157+$L$4</f>
        <v>15.399999999999961</v>
      </c>
    </row>
    <row r="159" spans="2:6" x14ac:dyDescent="0.25">
      <c r="B159" s="14">
        <f>B158+D158*$L$4</f>
        <v>0.24402360136255843</v>
      </c>
      <c r="C159" s="10">
        <f>C158+E158*$L$4</f>
        <v>10.735848362022276</v>
      </c>
      <c r="D159" s="10">
        <f>B159*($H$4-$I$4*C159)</f>
        <v>-1.7956436735741536E-2</v>
      </c>
      <c r="E159" s="10">
        <f>C159*(-$J$4+$K$4*B159)</f>
        <v>-5.3155281733914777</v>
      </c>
      <c r="F159" s="15">
        <f>F158+$L$4</f>
        <v>15.499999999999961</v>
      </c>
    </row>
    <row r="160" spans="2:6" x14ac:dyDescent="0.25">
      <c r="B160" s="14">
        <f>B159+D159*$L$4</f>
        <v>0.24222795768898428</v>
      </c>
      <c r="C160" s="10">
        <f>C159+E159*$L$4</f>
        <v>10.204295544683129</v>
      </c>
      <c r="D160" s="10">
        <f>B160*($H$4-$I$4*C160)</f>
        <v>-4.9486092553552843E-3</v>
      </c>
      <c r="E160" s="10">
        <f>C160*(-$J$4+$K$4*B160)</f>
        <v>-5.0527124589526968</v>
      </c>
      <c r="F160" s="15">
        <f>F159+$L$4</f>
        <v>15.599999999999961</v>
      </c>
    </row>
    <row r="161" spans="2:6" x14ac:dyDescent="0.25">
      <c r="B161" s="14">
        <f>B160+D160*$L$4</f>
        <v>0.24173309676344876</v>
      </c>
      <c r="C161" s="10">
        <f>C160+E160*$L$4</f>
        <v>9.6990242987878599</v>
      </c>
      <c r="D161" s="10">
        <f>B161*($H$4-$I$4*C161)</f>
        <v>7.2755788304560949E-3</v>
      </c>
      <c r="E161" s="10">
        <f>C161*(-$J$4+$K$4*B161)</f>
        <v>-4.8026206458073313</v>
      </c>
      <c r="F161" s="15">
        <f>F160+$L$4</f>
        <v>15.69999999999996</v>
      </c>
    </row>
    <row r="162" spans="2:6" x14ac:dyDescent="0.25">
      <c r="B162" s="14">
        <f>B161+D161*$L$4</f>
        <v>0.24246065464649436</v>
      </c>
      <c r="C162" s="10">
        <f>C161+E161*$L$4</f>
        <v>9.2187622342071265</v>
      </c>
      <c r="D162" s="10">
        <f>B162*($H$4-$I$4*C162)</f>
        <v>1.8941942012870455E-2</v>
      </c>
      <c r="E162" s="10">
        <f>C162*(-$J$4+$K$4*B162)</f>
        <v>-4.5646773745768385</v>
      </c>
      <c r="F162" s="15">
        <f>F161+$L$4</f>
        <v>15.79999999999996</v>
      </c>
    </row>
    <row r="163" spans="2:6" x14ac:dyDescent="0.25">
      <c r="B163" s="14">
        <f>B162+D162*$L$4</f>
        <v>0.24435484884778141</v>
      </c>
      <c r="C163" s="10">
        <f>C162+E162*$L$4</f>
        <v>8.7622944967494423</v>
      </c>
      <c r="D163" s="10">
        <f>B163*($H$4-$I$4*C163)</f>
        <v>3.0243934116485703E-2</v>
      </c>
      <c r="E163" s="10">
        <f>C163*(-$J$4+$K$4*B163)</f>
        <v>-4.338325065428462</v>
      </c>
      <c r="F163" s="15">
        <f>F162+$L$4</f>
        <v>15.899999999999959</v>
      </c>
    </row>
    <row r="164" spans="2:6" x14ac:dyDescent="0.25">
      <c r="B164" s="14">
        <f>B163+D163*$L$4</f>
        <v>0.24737924225942998</v>
      </c>
      <c r="C164" s="10">
        <f>C163+E163*$L$4</f>
        <v>8.3284619902065966</v>
      </c>
      <c r="D164" s="10">
        <f>B164*($H$4-$I$4*C164)</f>
        <v>4.1350380627052763E-2</v>
      </c>
      <c r="E164" s="10">
        <f>C164*(-$J$4+$K$4*B164)</f>
        <v>-4.1230252227768229</v>
      </c>
      <c r="F164" s="15">
        <f>F163+$L$4</f>
        <v>15.999999999999959</v>
      </c>
    </row>
    <row r="165" spans="2:6" x14ac:dyDescent="0.25">
      <c r="B165" s="14">
        <f>B164+D164*$L$4</f>
        <v>0.25151428032213524</v>
      </c>
      <c r="C165" s="10">
        <f>C164+E164*$L$4</f>
        <v>7.9161594679289147</v>
      </c>
      <c r="D165" s="10">
        <f>B165*($H$4-$I$4*C165)</f>
        <v>5.2411565172995438E-2</v>
      </c>
      <c r="E165" s="10">
        <f>C165*(-$J$4+$K$4*B165)</f>
        <v>-3.9182591909346294</v>
      </c>
      <c r="F165" s="15">
        <f>F164+$L$4</f>
        <v>16.099999999999959</v>
      </c>
    </row>
    <row r="166" spans="2:6" x14ac:dyDescent="0.25">
      <c r="B166" s="14">
        <f>B165+D165*$L$4</f>
        <v>0.2567554368394348</v>
      </c>
      <c r="C166" s="10">
        <f>C165+E165*$L$4</f>
        <v>7.5243335488354521</v>
      </c>
      <c r="D166" s="10">
        <f>B166*($H$4-$I$4*C166)</f>
        <v>6.3564082113748671E-2</v>
      </c>
      <c r="E166" s="10">
        <f>C166*(-$J$4+$K$4*B166)</f>
        <v>-3.7235285034725889</v>
      </c>
      <c r="F166" s="15">
        <f>F165+$L$4</f>
        <v>16.19999999999996</v>
      </c>
    </row>
    <row r="167" spans="2:6" x14ac:dyDescent="0.25">
      <c r="B167" s="14">
        <f>B166+D166*$L$4</f>
        <v>0.26311184505080965</v>
      </c>
      <c r="C167" s="10">
        <f>C166+E166*$L$4</f>
        <v>7.1519806984881935</v>
      </c>
      <c r="D167" s="10">
        <f>B167*($H$4-$I$4*C167)</f>
        <v>7.4934761316108947E-2</v>
      </c>
      <c r="E167" s="10">
        <f>C167*(-$J$4+$K$4*B167)</f>
        <v>-3.5383549324971568</v>
      </c>
      <c r="F167" s="15">
        <f>F166+$L$4</f>
        <v>16.299999999999962</v>
      </c>
    </row>
    <row r="168" spans="2:6" x14ac:dyDescent="0.25">
      <c r="B168" s="14">
        <f>B167+D167*$L$4</f>
        <v>0.27060532118242053</v>
      </c>
      <c r="C168" s="10">
        <f>C167+E167*$L$4</f>
        <v>6.7981452052384777</v>
      </c>
      <c r="D168" s="10">
        <f>B168*($H$4-$I$4*C168)</f>
        <v>8.6643894511591477E-2</v>
      </c>
      <c r="E168" s="10">
        <f>C168*(-$J$4+$K$4*B168)</f>
        <v>-3.362280317285073</v>
      </c>
      <c r="F168" s="15">
        <f>F167+$L$4</f>
        <v>16.399999999999963</v>
      </c>
    </row>
    <row r="169" spans="2:6" x14ac:dyDescent="0.25">
      <c r="B169" s="14">
        <f>B168+D168*$L$4</f>
        <v>0.27926971063357969</v>
      </c>
      <c r="C169" s="10">
        <f>C168+E168*$L$4</f>
        <v>6.4619171735099705</v>
      </c>
      <c r="D169" s="10">
        <f>B169*($H$4-$I$4*C169)</f>
        <v>9.8807936715150813E-2</v>
      </c>
      <c r="E169" s="10">
        <f>C169*(-$J$4+$K$4*B169)</f>
        <v>-3.1948662319712997</v>
      </c>
      <c r="F169" s="15">
        <f>F168+$L$4</f>
        <v>16.499999999999964</v>
      </c>
    </row>
    <row r="170" spans="2:6" x14ac:dyDescent="0.25">
      <c r="B170" s="14">
        <f>B169+D169*$L$4</f>
        <v>0.28915050430509476</v>
      </c>
      <c r="C170" s="10">
        <f>C169+E169*$L$4</f>
        <v>6.1424305503128407</v>
      </c>
      <c r="D170" s="10">
        <f>B170*($H$4-$I$4*C170)</f>
        <v>0.1115418151768969</v>
      </c>
      <c r="E170" s="10">
        <f>C170*(-$J$4+$K$4*B170)</f>
        <v>-3.035693537330781</v>
      </c>
      <c r="F170" s="15">
        <f>F169+$L$4</f>
        <v>16.599999999999966</v>
      </c>
    </row>
    <row r="171" spans="2:6" x14ac:dyDescent="0.25">
      <c r="B171" s="14">
        <f>B170+D170*$L$4</f>
        <v>0.30030468582278447</v>
      </c>
      <c r="C171" s="10">
        <f>C170+E170*$L$4</f>
        <v>5.8388611965797628</v>
      </c>
      <c r="D171" s="10">
        <f>B171*($H$4-$I$4*C171)</f>
        <v>0.12496094810261114</v>
      </c>
      <c r="E171" s="10">
        <f>C171*(-$J$4+$K$4*B171)</f>
        <v>-2.8843618507458468</v>
      </c>
      <c r="F171" s="15">
        <f>F170+$L$4</f>
        <v>16.699999999999967</v>
      </c>
    </row>
    <row r="172" spans="2:6" x14ac:dyDescent="0.25">
      <c r="B172" s="14">
        <f>B171+D171*$L$4</f>
        <v>0.31280078063304556</v>
      </c>
      <c r="C172" s="10">
        <f>C171+E171*$L$4</f>
        <v>5.5504250115051779</v>
      </c>
      <c r="D172" s="10">
        <f>B172*($H$4-$I$4*C172)</f>
        <v>0.1391830529886455</v>
      </c>
      <c r="E172" s="10">
        <f>C172*(-$J$4+$K$4*B172)</f>
        <v>-2.740488960223709</v>
      </c>
      <c r="F172" s="15">
        <f>F171+$L$4</f>
        <v>16.799999999999969</v>
      </c>
    </row>
    <row r="173" spans="2:6" x14ac:dyDescent="0.25">
      <c r="B173" s="14">
        <f>B172+D172*$L$4</f>
        <v>0.32671908593191012</v>
      </c>
      <c r="C173" s="10">
        <f>C172+E172*$L$4</f>
        <v>5.2763761154828073</v>
      </c>
      <c r="D173" s="10">
        <f>B173*($H$4-$I$4*C173)</f>
        <v>0.15432980778355959</v>
      </c>
      <c r="E173" s="10">
        <f>C173*(-$J$4+$K$4*B173)</f>
        <v>-2.6037102021117335</v>
      </c>
      <c r="F173" s="15">
        <f>F172+$L$4</f>
        <v>16.89999999999997</v>
      </c>
    </row>
    <row r="174" spans="2:6" x14ac:dyDescent="0.25">
      <c r="B174" s="14">
        <f>B173+D173*$L$4</f>
        <v>0.3421520667102661</v>
      </c>
      <c r="C174" s="10">
        <f>C173+E173*$L$4</f>
        <v>5.016005095271634</v>
      </c>
      <c r="D174" s="10">
        <f>B174*($H$4-$I$4*C174)</f>
        <v>0.17052841571262461</v>
      </c>
      <c r="E174" s="10">
        <f>C174*(-$J$4+$K$4*B174)</f>
        <v>-2.4736778174362888</v>
      </c>
      <c r="F174" s="15">
        <f>F173+$L$4</f>
        <v>16.999999999999972</v>
      </c>
    </row>
    <row r="175" spans="2:6" x14ac:dyDescent="0.25">
      <c r="B175" s="14">
        <f>B174+D174*$L$4</f>
        <v>0.35920490828152857</v>
      </c>
      <c r="C175" s="10">
        <f>C174+E174*$L$4</f>
        <v>4.7686373135280054</v>
      </c>
      <c r="D175" s="10">
        <f>B175*($H$4-$I$4*C175)</f>
        <v>0.18791311539815836</v>
      </c>
      <c r="E175" s="10">
        <f>C175*(-$J$4+$K$4*B175)</f>
        <v>-2.3500602981873286</v>
      </c>
      <c r="F175" s="15">
        <f>F174+$L$4</f>
        <v>17.099999999999973</v>
      </c>
    </row>
    <row r="176" spans="2:6" x14ac:dyDescent="0.25">
      <c r="B176" s="14">
        <f>B175+D175*$L$4</f>
        <v>0.3779962198213444</v>
      </c>
      <c r="C176" s="10">
        <f>C175+E175*$L$4</f>
        <v>4.5336312837092727</v>
      </c>
      <c r="D176" s="10">
        <f>B176*($H$4-$I$4*C176)</f>
        <v>0.206626671090755</v>
      </c>
      <c r="E176" s="10">
        <f>C176*(-$J$4+$K$4*B176)</f>
        <v>-2.2325417321085186</v>
      </c>
      <c r="F176" s="15">
        <f>F175+$L$4</f>
        <v>17.199999999999974</v>
      </c>
    </row>
    <row r="177" spans="2:6" x14ac:dyDescent="0.25">
      <c r="B177" s="14">
        <f>B176+D176*$L$4</f>
        <v>0.3986588869304199</v>
      </c>
      <c r="C177" s="10">
        <f>C176+E176*$L$4</f>
        <v>4.310377110498421</v>
      </c>
      <c r="D177" s="10">
        <f>B177*($H$4-$I$4*C177)</f>
        <v>0.22682187281825389</v>
      </c>
      <c r="E177" s="10">
        <f>C177*(-$J$4+$K$4*B177)</f>
        <v>-2.1208211524267773</v>
      </c>
      <c r="F177" s="15">
        <f>F176+$L$4</f>
        <v>17.299999999999976</v>
      </c>
    </row>
    <row r="178" spans="2:6" x14ac:dyDescent="0.25">
      <c r="B178" s="14">
        <f>B177+D177*$L$4</f>
        <v>0.42134107421224531</v>
      </c>
      <c r="C178" s="10">
        <f>C177+E177*$L$4</f>
        <v>4.0982949952557437</v>
      </c>
      <c r="D178" s="10">
        <f>B178*($H$4-$I$4*C178)</f>
        <v>0.24866307263827289</v>
      </c>
      <c r="E178" s="10">
        <f>C178*(-$J$4+$K$4*B178)</f>
        <v>-2.0146118973130775</v>
      </c>
      <c r="F178" s="15">
        <f>F177+$L$4</f>
        <v>17.399999999999977</v>
      </c>
    </row>
    <row r="179" spans="2:6" x14ac:dyDescent="0.25">
      <c r="B179" s="14">
        <f>B178+D178*$L$4</f>
        <v>0.44620738147607258</v>
      </c>
      <c r="C179" s="10">
        <f>C178+E178*$L$4</f>
        <v>3.896833805524436</v>
      </c>
      <c r="D179" s="10">
        <f>B179*($H$4-$I$4*C179)</f>
        <v>0.27232778063502283</v>
      </c>
      <c r="E179" s="10">
        <f>C179*(-$J$4+$K$4*B179)</f>
        <v>-1.9136409825940082</v>
      </c>
      <c r="F179" s="15">
        <f>F178+$L$4</f>
        <v>17.499999999999979</v>
      </c>
    </row>
    <row r="180" spans="2:6" x14ac:dyDescent="0.25">
      <c r="B180" s="14">
        <f>B179+D179*$L$4</f>
        <v>0.47344015953957486</v>
      </c>
      <c r="C180" s="10">
        <f>C179+E179*$L$4</f>
        <v>3.7054697072650353</v>
      </c>
      <c r="D180" s="10">
        <f>B180*($H$4-$I$4*C180)</f>
        <v>0.29800834260191283</v>
      </c>
      <c r="E180" s="10">
        <f>C180*(-$J$4+$K$4*B180)</f>
        <v>-1.8176484902449852</v>
      </c>
      <c r="F180" s="15">
        <f>F179+$L$4</f>
        <v>17.59999999999998</v>
      </c>
    </row>
    <row r="181" spans="2:6" x14ac:dyDescent="0.25">
      <c r="B181" s="14">
        <f>B180+D180*$L$4</f>
        <v>0.50324099379976617</v>
      </c>
      <c r="C181" s="10">
        <f>C180+E180*$L$4</f>
        <v>3.5237048582405368</v>
      </c>
      <c r="D181" s="10">
        <f>B181*($H$4-$I$4*C181)</f>
        <v>0.32591372032796295</v>
      </c>
      <c r="E181" s="10">
        <f>C181*(-$J$4+$K$4*B181)</f>
        <v>-1.7263869744259077</v>
      </c>
      <c r="F181" s="15">
        <f>F180+$L$4</f>
        <v>17.699999999999982</v>
      </c>
    </row>
    <row r="182" spans="2:6" x14ac:dyDescent="0.25">
      <c r="B182" s="14">
        <f>B181+D181*$L$4</f>
        <v>0.53583236583256244</v>
      </c>
      <c r="C182" s="10">
        <f>C181+E181*$L$4</f>
        <v>3.3510661607979459</v>
      </c>
      <c r="D182" s="10">
        <f>B182*($H$4-$I$4*C182)</f>
        <v>0.35627139493238186</v>
      </c>
      <c r="E182" s="10">
        <f>C182*(-$J$4+$K$4*B182)</f>
        <v>-1.639620886218937</v>
      </c>
      <c r="F182" s="15">
        <f>F181+$L$4</f>
        <v>17.799999999999983</v>
      </c>
    </row>
    <row r="183" spans="2:6" x14ac:dyDescent="0.25">
      <c r="B183" s="14">
        <f>B182+D182*$L$4</f>
        <v>0.57145950532580059</v>
      </c>
      <c r="C183" s="10">
        <f>C182+E182*$L$4</f>
        <v>3.1871040721760524</v>
      </c>
      <c r="D183" s="10">
        <f>B183*($H$4-$I$4*C183)</f>
        <v>0.38932941367504342</v>
      </c>
      <c r="E183" s="10">
        <f>C183*(-$J$4+$K$4*B183)</f>
        <v>-1.5571260177578747</v>
      </c>
      <c r="F183" s="15">
        <f>F182+$L$4</f>
        <v>17.899999999999984</v>
      </c>
    </row>
    <row r="184" spans="2:6" x14ac:dyDescent="0.25">
      <c r="B184" s="14">
        <f>B183+D183*$L$4</f>
        <v>0.61039244669330495</v>
      </c>
      <c r="C184" s="10">
        <f>C183+E183*$L$4</f>
        <v>3.0313914704002647</v>
      </c>
      <c r="D184" s="10">
        <f>B184*($H$4-$I$4*C184)</f>
        <v>0.4253586010430217</v>
      </c>
      <c r="E184" s="10">
        <f>C184*(-$J$4+$K$4*B184)</f>
        <v>-1.4786889660700757</v>
      </c>
      <c r="F184" s="15">
        <f>F183+$L$4</f>
        <v>17.999999999999986</v>
      </c>
    </row>
    <row r="185" spans="2:6" x14ac:dyDescent="0.25">
      <c r="B185" s="14">
        <f>B184+D184*$L$4</f>
        <v>0.65292830679760716</v>
      </c>
      <c r="C185" s="10">
        <f>C184+E184*$L$4</f>
        <v>2.883522573793257</v>
      </c>
      <c r="D185" s="10">
        <f>B185*($H$4-$I$4*C185)</f>
        <v>0.46465495562565612</v>
      </c>
      <c r="E185" s="10">
        <f>C185*(-$J$4+$K$4*B185)</f>
        <v>-1.4041066166622385</v>
      </c>
      <c r="F185" s="15">
        <f>F184+$L$4</f>
        <v>18.099999999999987</v>
      </c>
    </row>
    <row r="186" spans="2:6" x14ac:dyDescent="0.25">
      <c r="B186" s="14">
        <f>B185+D185*$L$4</f>
        <v>0.69939380236017279</v>
      </c>
      <c r="C186" s="10">
        <f>C185+E185*$L$4</f>
        <v>2.7431119121270333</v>
      </c>
      <c r="D186" s="10">
        <f>B186*($H$4-$I$4*C186)</f>
        <v>0.5075422553079717</v>
      </c>
      <c r="E186" s="10">
        <f>C186*(-$J$4+$K$4*B186)</f>
        <v>-1.3331856466530765</v>
      </c>
      <c r="F186" s="15">
        <f>F185+$L$4</f>
        <v>18.199999999999989</v>
      </c>
    </row>
    <row r="187" spans="2:6" x14ac:dyDescent="0.25">
      <c r="B187" s="14">
        <f>B186+D186*$L$4</f>
        <v>0.75014802789097002</v>
      </c>
      <c r="C187" s="10">
        <f>C186+E186*$L$4</f>
        <v>2.6097933474617259</v>
      </c>
      <c r="D187" s="10">
        <f>B187*($H$4-$I$4*C187)</f>
        <v>0.55437489461083134</v>
      </c>
      <c r="E187" s="10">
        <f>C187*(-$J$4+$K$4*B187)</f>
        <v>-1.2657420470748351</v>
      </c>
      <c r="F187" s="15">
        <f>F186+$L$4</f>
        <v>18.29999999999999</v>
      </c>
    </row>
    <row r="188" spans="2:6" x14ac:dyDescent="0.25">
      <c r="B188" s="14">
        <f>B187+D187*$L$4</f>
        <v>0.80558551735205319</v>
      </c>
      <c r="C188" s="10">
        <f>C187+E187*$L$4</f>
        <v>2.4832191427542423</v>
      </c>
      <c r="D188" s="10">
        <f>B188*($H$4-$I$4*C188)</f>
        <v>0.60554097957063335</v>
      </c>
      <c r="E188" s="10">
        <f>C188*(-$J$4+$K$4*B188)</f>
        <v>-1.2016006638208372</v>
      </c>
      <c r="F188" s="15">
        <f>F187+$L$4</f>
        <v>18.399999999999991</v>
      </c>
    </row>
    <row r="189" spans="2:6" x14ac:dyDescent="0.25">
      <c r="B189" s="14">
        <f>B188+D188*$L$4</f>
        <v>0.86613961530911654</v>
      </c>
      <c r="C189" s="10">
        <f>C188+E188*$L$4</f>
        <v>2.3630590763721586</v>
      </c>
      <c r="D189" s="10">
        <f>B189*($H$4-$I$4*C189)</f>
        <v>0.66146570737294685</v>
      </c>
      <c r="E189" s="10">
        <f>C189*(-$J$4+$K$4*B189)</f>
        <v>-1.1405947565988455</v>
      </c>
      <c r="F189" s="15">
        <f>F188+$L$4</f>
        <v>18.499999999999993</v>
      </c>
    </row>
    <row r="190" spans="2:6" x14ac:dyDescent="0.25">
      <c r="B190" s="14">
        <f>B189+D189*$L$4</f>
        <v>0.93228618604641122</v>
      </c>
      <c r="C190" s="10">
        <f>C189+E189*$L$4</f>
        <v>2.2489996007122741</v>
      </c>
      <c r="D190" s="10">
        <f>B190*($H$4-$I$4*C190)</f>
        <v>0.72261506002961651</v>
      </c>
      <c r="E190" s="10">
        <f>C190*(-$J$4+$K$4*B190)</f>
        <v>-1.0825655751527781</v>
      </c>
      <c r="F190" s="15">
        <f>F189+$L$4</f>
        <v>18.599999999999994</v>
      </c>
    </row>
    <row r="191" spans="2:6" x14ac:dyDescent="0.25">
      <c r="B191" s="14">
        <f>B190+D190*$L$4</f>
        <v>1.0045476920493728</v>
      </c>
      <c r="C191" s="10">
        <f>C190+E190*$L$4</f>
        <v>2.1407430431969963</v>
      </c>
      <c r="D191" s="10">
        <f>B191*($H$4-$I$4*C191)</f>
        <v>0.78949984371794346</v>
      </c>
      <c r="E191" s="10">
        <f>C191*(-$J$4+$K$4*B191)</f>
        <v>-1.0273619519322121</v>
      </c>
      <c r="F191" s="15">
        <f>F190+$L$4</f>
        <v>18.699999999999996</v>
      </c>
    </row>
    <row r="192" spans="2:6" x14ac:dyDescent="0.25">
      <c r="B192" s="14">
        <f>B191+D191*$L$4</f>
        <v>1.083497676421167</v>
      </c>
      <c r="C192" s="10">
        <f>C191+E191*$L$4</f>
        <v>2.038006848003775</v>
      </c>
      <c r="D192" s="10">
        <f>B192*($H$4-$I$4*C192)</f>
        <v>0.8626801079869153</v>
      </c>
      <c r="E192" s="10">
        <f>C192*(-$J$4+$K$4*B192)</f>
        <v>-0.97483991031503714</v>
      </c>
      <c r="F192" s="15">
        <f>F191+$L$4</f>
        <v>18.799999999999997</v>
      </c>
    </row>
    <row r="193" spans="2:6" x14ac:dyDescent="0.25">
      <c r="B193" s="14">
        <f>B192+D192*$L$4</f>
        <v>1.1697656872198585</v>
      </c>
      <c r="C193" s="10">
        <f>C192+E192*$L$4</f>
        <v>1.9405228569722712</v>
      </c>
      <c r="D193" s="10">
        <f>B193*($H$4-$I$4*C193)</f>
        <v>0.94276998188465733</v>
      </c>
      <c r="E193" s="10">
        <f>C193*(-$J$4+$K$4*B193)</f>
        <v>-0.92486228741909537</v>
      </c>
      <c r="F193" s="15">
        <f>F192+$L$4</f>
        <v>18.899999999999999</v>
      </c>
    </row>
    <row r="194" spans="2:6" x14ac:dyDescent="0.25">
      <c r="B194" s="14">
        <f>B193+D193*$L$4</f>
        <v>1.2640426854083242</v>
      </c>
      <c r="C194" s="10">
        <f>C193+E193*$L$4</f>
        <v>1.8480366282303617</v>
      </c>
      <c r="D194" s="10">
        <f>B194*($H$4-$I$4*C194)</f>
        <v>1.0304429671801991</v>
      </c>
      <c r="E194" s="10">
        <f>C194*(-$J$4+$K$4*B194)</f>
        <v>-0.87729837046955583</v>
      </c>
      <c r="F194" s="15">
        <f>F193+$L$4</f>
        <v>19</v>
      </c>
    </row>
    <row r="195" spans="2:6" x14ac:dyDescent="0.25">
      <c r="B195" s="14">
        <f>B194+D194*$L$4</f>
        <v>1.3670869821263441</v>
      </c>
      <c r="C195" s="10">
        <f>C194+E194*$L$4</f>
        <v>1.7603067911834063</v>
      </c>
      <c r="D195" s="10">
        <f>B195*($H$4-$I$4*C195)</f>
        <v>1.1264377322488011</v>
      </c>
      <c r="E195" s="10">
        <f>C195*(-$J$4+$K$4*B195)</f>
        <v>-0.83202354561619452</v>
      </c>
      <c r="F195" s="15">
        <f>F194+$L$4</f>
        <v>19.100000000000001</v>
      </c>
    </row>
    <row r="196" spans="2:6" x14ac:dyDescent="0.25">
      <c r="B196" s="14">
        <f>B195+D195*$L$4</f>
        <v>1.4797307553512242</v>
      </c>
      <c r="C196" s="10">
        <f>C195+E195*$L$4</f>
        <v>1.6771044366217869</v>
      </c>
      <c r="D196" s="10">
        <f>B196*($H$4-$I$4*C196)</f>
        <v>1.2315644538706996</v>
      </c>
      <c r="E196" s="10">
        <f>C196*(-$J$4+$K$4*B196)</f>
        <v>-0.78891895801478851</v>
      </c>
      <c r="F196" s="15">
        <f>F195+$L$4</f>
        <v>19.200000000000003</v>
      </c>
    </row>
    <row r="197" spans="2:6" x14ac:dyDescent="0.25">
      <c r="B197" s="14">
        <f>B196+D196*$L$4</f>
        <v>1.6028872007382942</v>
      </c>
      <c r="C197" s="10">
        <f>C196+E196*$L$4</f>
        <v>1.5982125408203081</v>
      </c>
      <c r="D197" s="10">
        <f>B197*($H$4-$I$4*C197)</f>
        <v>1.346711758164264</v>
      </c>
      <c r="E197" s="10">
        <f>C197*(-$J$4+$K$4*B197)</f>
        <v>-0.74787118189534796</v>
      </c>
      <c r="F197" s="15">
        <f>F196+$L$4</f>
        <v>19.300000000000004</v>
      </c>
    </row>
    <row r="198" spans="2:6" x14ac:dyDescent="0.25">
      <c r="B198" s="14">
        <f>B197+D197*$L$4</f>
        <v>1.7375583765547207</v>
      </c>
      <c r="C198" s="10">
        <f>C197+E197*$L$4</f>
        <v>1.5234254226307733</v>
      </c>
      <c r="D198" s="10">
        <f>B198*($H$4-$I$4*C198)</f>
        <v>1.4728543161398691</v>
      </c>
      <c r="E198" s="10">
        <f>C198*(-$J$4+$K$4*B198)</f>
        <v>-0.70877189923241635</v>
      </c>
      <c r="F198" s="15">
        <f>F197+$L$4</f>
        <v>19.400000000000006</v>
      </c>
    </row>
    <row r="199" spans="2:6" x14ac:dyDescent="0.25">
      <c r="B199" s="14">
        <f>B198+D198*$L$4</f>
        <v>1.8848438081687076</v>
      </c>
      <c r="C199" s="10">
        <f>C198+E198*$L$4</f>
        <v>1.4525482327075316</v>
      </c>
      <c r="D199" s="10">
        <f>B199*($H$4-$I$4*C199)</f>
        <v>1.6110611539201887</v>
      </c>
      <c r="E199" s="10">
        <f>C199*(-$J$4+$K$4*B199)</f>
        <v>-0.67151758550406204</v>
      </c>
      <c r="F199" s="15">
        <f>F198+$L$4</f>
        <v>19.500000000000007</v>
      </c>
    </row>
    <row r="200" spans="2:6" x14ac:dyDescent="0.25">
      <c r="B200" s="14">
        <f>B199+D199*$L$4</f>
        <v>2.0459499235607264</v>
      </c>
      <c r="C200" s="10">
        <f>C199+E199*$L$4</f>
        <v>1.3853964741571254</v>
      </c>
      <c r="D200" s="10">
        <f>B200*($H$4-$I$4*C200)</f>
        <v>1.7625047425204192</v>
      </c>
      <c r="E200" s="10">
        <f>C200*(-$J$4+$K$4*B200)</f>
        <v>-0.63600920087050128</v>
      </c>
      <c r="F200" s="15">
        <f>F199+$L$4</f>
        <v>19.600000000000009</v>
      </c>
    </row>
    <row r="201" spans="2:6" x14ac:dyDescent="0.25">
      <c r="B201" s="14">
        <f>B200+D200*$L$4</f>
        <v>2.2222003978127685</v>
      </c>
      <c r="C201" s="10">
        <f>C200+E200*$L$4</f>
        <v>1.3217955540700752</v>
      </c>
      <c r="D201" s="10">
        <f>B201*($H$4-$I$4*C201)</f>
        <v>1.9284709372046014</v>
      </c>
      <c r="E201" s="10">
        <f>C201*(-$J$4+$K$4*B201)</f>
        <v>-0.60215188491340421</v>
      </c>
      <c r="F201" s="15">
        <f>F200+$L$4</f>
        <v>19.70000000000001</v>
      </c>
    </row>
    <row r="202" spans="2:6" x14ac:dyDescent="0.25">
      <c r="B202" s="14">
        <f>B201+D201*$L$4</f>
        <v>2.4150474915332287</v>
      </c>
      <c r="C202" s="10">
        <f>C201+E201*$L$4</f>
        <v>1.2615803655787348</v>
      </c>
      <c r="D202" s="10">
        <f>B202*($H$4-$I$4*C202)</f>
        <v>2.1103698418073789</v>
      </c>
      <c r="E202" s="10">
        <f>C202*(-$J$4+$K$4*B202)</f>
        <v>-0.56985465284419745</v>
      </c>
      <c r="F202" s="15">
        <f>F201+$L$4</f>
        <v>19.800000000000011</v>
      </c>
    </row>
    <row r="203" spans="2:6" x14ac:dyDescent="0.25">
      <c r="B203" s="14">
        <f>B202+D202*$L$4</f>
        <v>2.6260844757139665</v>
      </c>
      <c r="C203" s="10">
        <f>C202+E202*$L$4</f>
        <v>1.204594900294315</v>
      </c>
      <c r="D203" s="10">
        <f>B203*($H$4-$I$4*C203)</f>
        <v>2.3097476789952549</v>
      </c>
      <c r="E203" s="10">
        <f>C203*(-$J$4+$K$4*B203)</f>
        <v>-0.53903009080341524</v>
      </c>
      <c r="F203" s="15">
        <f>F202+$L$4</f>
        <v>19.900000000000013</v>
      </c>
    </row>
    <row r="204" spans="2:6" x14ac:dyDescent="0.25">
      <c r="B204" s="14">
        <f>B203+D203*$L$4</f>
        <v>2.8570592436134921</v>
      </c>
      <c r="C204" s="10">
        <f>C203+E203*$L$4</f>
        <v>1.1506918912139734</v>
      </c>
      <c r="D204" s="10">
        <f>B204*($H$4-$I$4*C204)</f>
        <v>2.5282997531790947</v>
      </c>
      <c r="E204" s="10">
        <f>C204*(-$J$4+$K$4*B204)</f>
        <v>-0.50959404752010729</v>
      </c>
      <c r="F204" s="15">
        <f>F203+$L$4</f>
        <v>20.000000000000014</v>
      </c>
    </row>
    <row r="205" spans="2:6" x14ac:dyDescent="0.25">
      <c r="B205" s="14">
        <f>B204+D204*$L$4</f>
        <v>3.1098892189314014</v>
      </c>
      <c r="C205" s="10">
        <f>C204+E204*$L$4</f>
        <v>1.0997324864619626</v>
      </c>
      <c r="D205" s="10">
        <f>B205*($H$4-$I$4*C205)</f>
        <v>2.767884598595733</v>
      </c>
      <c r="E205" s="10">
        <f>C205*(-$J$4+$K$4*B205)</f>
        <v>-0.48146531916384766</v>
      </c>
      <c r="F205" s="15">
        <f>F204+$L$4</f>
        <v>20.100000000000016</v>
      </c>
    </row>
    <row r="206" spans="2:6" x14ac:dyDescent="0.25">
      <c r="B206" s="14">
        <f>B205+D205*$L$4</f>
        <v>3.3866776787909747</v>
      </c>
      <c r="C206" s="10">
        <f>C205+E205*$L$4</f>
        <v>1.0515859545455779</v>
      </c>
      <c r="D206" s="10">
        <f>B206*($H$4-$I$4*C206)</f>
        <v>3.0305394108320138</v>
      </c>
      <c r="E206" s="10">
        <f>C206*(-$J$4+$K$4*B206)</f>
        <v>-0.45456532368099678</v>
      </c>
      <c r="F206" s="15">
        <f>F205+$L$4</f>
        <v>20.200000000000017</v>
      </c>
    </row>
    <row r="207" spans="2:6" x14ac:dyDescent="0.25">
      <c r="B207" s="14">
        <f>B206+D206*$L$4</f>
        <v>3.6897316198741761</v>
      </c>
      <c r="C207" s="10">
        <f>C206+E206*$L$4</f>
        <v>1.0061294221774781</v>
      </c>
      <c r="D207" s="10">
        <f>B207*($H$4-$I$4*C207)</f>
        <v>3.3184968656047782</v>
      </c>
      <c r="E207" s="10">
        <f>C207*(-$J$4+$K$4*B207)</f>
        <v>-0.42881776023485957</v>
      </c>
      <c r="F207" s="15">
        <f>F206+$L$4</f>
        <v>20.300000000000018</v>
      </c>
    </row>
    <row r="208" spans="2:6" x14ac:dyDescent="0.25">
      <c r="B208" s="14">
        <f>B207+D207*$L$4</f>
        <v>4.0215813064346539</v>
      </c>
      <c r="C208" s="10">
        <f>C207+E207*$L$4</f>
        <v>0.96324764615399217</v>
      </c>
      <c r="D208" s="10">
        <f>B208*($H$4-$I$4*C208)</f>
        <v>3.6342034337106464</v>
      </c>
      <c r="E208" s="10">
        <f>C208*(-$J$4+$K$4*B208)</f>
        <v>-0.40414824853219455</v>
      </c>
      <c r="F208" s="15">
        <f>F207+$L$4</f>
        <v>20.40000000000002</v>
      </c>
    </row>
    <row r="209" spans="2:6" x14ac:dyDescent="0.25">
      <c r="B209" s="14">
        <f>B208+D208*$L$4</f>
        <v>4.3850016498057185</v>
      </c>
      <c r="C209" s="10">
        <f>C208+E208*$L$4</f>
        <v>0.92283282130077271</v>
      </c>
      <c r="D209" s="10">
        <f>B209*($H$4-$I$4*C209)</f>
        <v>3.9803393054158431</v>
      </c>
      <c r="E209" s="10">
        <f>C209*(-$J$4+$K$4*B209)</f>
        <v>-0.38048394177241124</v>
      </c>
      <c r="F209" s="15">
        <f>F208+$L$4</f>
        <v>20.500000000000021</v>
      </c>
    </row>
    <row r="210" spans="2:6" x14ac:dyDescent="0.25">
      <c r="B210" s="14">
        <f>B209+D209*$L$4</f>
        <v>4.7830355803473026</v>
      </c>
      <c r="C210" s="10">
        <f>C209+E209*$L$4</f>
        <v>0.88478442712353156</v>
      </c>
      <c r="D210" s="10">
        <f>B210*($H$4-$I$4*C210)</f>
        <v>4.359840040760397</v>
      </c>
      <c r="E210" s="10">
        <f>C210*(-$J$4+$K$4*B210)</f>
        <v>-0.35775310564438467</v>
      </c>
      <c r="F210" s="15">
        <f>F209+$L$4</f>
        <v>20.600000000000023</v>
      </c>
    </row>
    <row r="211" spans="2:6" x14ac:dyDescent="0.25">
      <c r="B211" s="14">
        <f>B210+D210*$L$4</f>
        <v>5.219019584423342</v>
      </c>
      <c r="C211" s="10">
        <f>C210+E210*$L$4</f>
        <v>0.84900911655909306</v>
      </c>
      <c r="D211" s="10">
        <f>B211*($H$4-$I$4*C211)</f>
        <v>4.7759200637557555</v>
      </c>
      <c r="E211" s="10">
        <f>C211*(-$J$4+$K$4*B211)</f>
        <v>-0.33588465414602919</v>
      </c>
      <c r="F211" s="15">
        <f>F210+$L$4</f>
        <v>20.700000000000024</v>
      </c>
    </row>
    <row r="212" spans="2:6" x14ac:dyDescent="0.25">
      <c r="B212" s="14">
        <f>B211+D211*$L$4</f>
        <v>5.6966115907989172</v>
      </c>
      <c r="C212" s="10">
        <f>C211+E211*$L$4</f>
        <v>0.81542065114449014</v>
      </c>
      <c r="D212" s="10">
        <f>B212*($H$4-$I$4*C212)</f>
        <v>5.232098117530267</v>
      </c>
      <c r="E212" s="10">
        <f>C212*(-$J$4+$K$4*B212)</f>
        <v>-0.31480763091851499</v>
      </c>
      <c r="F212" s="15">
        <f>F211+$L$4</f>
        <v>20.800000000000026</v>
      </c>
    </row>
    <row r="213" spans="2:6" x14ac:dyDescent="0.25">
      <c r="B213" s="14">
        <f>B212+D212*$L$4</f>
        <v>6.2198214025519443</v>
      </c>
      <c r="C213" s="10">
        <f>C212+E212*$L$4</f>
        <v>0.78393988805263859</v>
      </c>
      <c r="D213" s="10">
        <f>B213*($H$4-$I$4*C213)</f>
        <v>5.7322247931495465</v>
      </c>
      <c r="E213" s="10">
        <f>C213*(-$J$4+$K$4*B213)</f>
        <v>-0.29445062214583972</v>
      </c>
      <c r="F213" s="15">
        <f>F212+$L$4</f>
        <v>20.900000000000027</v>
      </c>
    </row>
    <row r="214" spans="2:6" x14ac:dyDescent="0.25">
      <c r="B214" s="14">
        <f>B213+D213*$L$4</f>
        <v>6.7930438818668986</v>
      </c>
      <c r="C214" s="10">
        <f>C213+E213*$L$4</f>
        <v>0.75449482583805461</v>
      </c>
      <c r="D214" s="10">
        <f>B214*($H$4-$I$4*C214)</f>
        <v>6.2805122358109555</v>
      </c>
      <c r="E214" s="10">
        <f>C214*(-$J$4+$K$4*B214)</f>
        <v>-0.27474108370783873</v>
      </c>
      <c r="F214" s="15">
        <f>F213+$L$4</f>
        <v>21.000000000000028</v>
      </c>
    </row>
    <row r="215" spans="2:6" x14ac:dyDescent="0.25">
      <c r="B215" s="14">
        <f>B214+D214*$L$4</f>
        <v>7.4210951054479946</v>
      </c>
      <c r="C215" s="10">
        <f>C214+E214*$L$4</f>
        <v>0.72702071746727071</v>
      </c>
      <c r="D215" s="10">
        <f>B215*($H$4-$I$4*C215)</f>
        <v>6.8815661166524293</v>
      </c>
      <c r="E215" s="10">
        <f>C215*(-$J$4+$K$4*B215)</f>
        <v>-0.25560456097452233</v>
      </c>
      <c r="F215" s="15">
        <f>F214+$L$4</f>
        <v>21.10000000000003</v>
      </c>
    </row>
    <row r="216" spans="2:6" x14ac:dyDescent="0.25">
      <c r="B216" s="14">
        <f>B215+D215*$L$4</f>
        <v>8.1092517171132368</v>
      </c>
      <c r="C216" s="10">
        <f>C215+E215*$L$4</f>
        <v>0.70146026136981843</v>
      </c>
      <c r="D216" s="10">
        <f>B216*($H$4-$I$4*C216)</f>
        <v>7.5404199342132472</v>
      </c>
      <c r="E216" s="10">
        <f>C216*(-$J$4+$K$4*B216)</f>
        <v>-0.23696377410491123</v>
      </c>
      <c r="F216" s="15">
        <f>F215+$L$4</f>
        <v>21.200000000000031</v>
      </c>
    </row>
    <row r="217" spans="2:6" x14ac:dyDescent="0.25">
      <c r="B217" s="14">
        <f>B216+D216*$L$4</f>
        <v>8.8632937105345615</v>
      </c>
      <c r="C217" s="10">
        <f>C216+E216*$L$4</f>
        <v>0.6777638839593273</v>
      </c>
      <c r="D217" s="10">
        <f>B217*($H$4-$I$4*C217)</f>
        <v>8.2625716735421442</v>
      </c>
      <c r="E217" s="10">
        <f>C217*(-$J$4+$K$4*B217)</f>
        <v>-0.21873753458118</v>
      </c>
      <c r="F217" s="15">
        <f>F216+$L$4</f>
        <v>21.300000000000033</v>
      </c>
    </row>
    <row r="218" spans="2:6" x14ac:dyDescent="0.25">
      <c r="B218" s="14">
        <f>B217+D217*$L$4</f>
        <v>9.6895508778887756</v>
      </c>
      <c r="C218" s="10">
        <f>C217+E217*$L$4</f>
        <v>0.65589013050120926</v>
      </c>
      <c r="D218" s="10">
        <f>B218*($H$4-$I$4*C218)</f>
        <v>9.0540227989091182</v>
      </c>
      <c r="E218" s="10">
        <f>C218*(-$J$4+$K$4*B218)</f>
        <v>-0.20083944945467311</v>
      </c>
      <c r="F218" s="15">
        <f>F217+$L$4</f>
        <v>21.400000000000034</v>
      </c>
    </row>
    <row r="219" spans="2:6" x14ac:dyDescent="0.25">
      <c r="B219" s="14">
        <f>B218+D218*$L$4</f>
        <v>10.594953157779688</v>
      </c>
      <c r="C219" s="10">
        <f>C218+E218*$L$4</f>
        <v>0.63580618555574198</v>
      </c>
      <c r="D219" s="10">
        <f>B219*($H$4-$I$4*C219)</f>
        <v>9.9213194824407225</v>
      </c>
      <c r="E219" s="10">
        <f>C219*(-$J$4+$K$4*B219)</f>
        <v>-0.18317635771007765</v>
      </c>
      <c r="F219" s="15">
        <f>F218+$L$4</f>
        <v>21.500000000000036</v>
      </c>
    </row>
    <row r="220" spans="2:6" x14ac:dyDescent="0.25">
      <c r="B220" s="14">
        <f>B219+D219*$L$4</f>
        <v>11.587085106023761</v>
      </c>
      <c r="C220" s="10">
        <f>C219+E219*$L$4</f>
        <v>0.61748854978473422</v>
      </c>
      <c r="D220" s="10">
        <f>B220*($H$4-$I$4*C220)</f>
        <v>10.87159586818867</v>
      </c>
      <c r="E220" s="10">
        <f>C220*(-$J$4+$K$4*B220)</f>
        <v>-0.16564642732534904</v>
      </c>
      <c r="F220" s="15">
        <f>F219+$L$4</f>
        <v>21.600000000000037</v>
      </c>
    </row>
    <row r="221" spans="2:6" x14ac:dyDescent="0.25">
      <c r="B221" s="14">
        <f>B220+D220*$L$4</f>
        <v>12.674244692842628</v>
      </c>
      <c r="C221" s="10">
        <f>C220+E220*$L$4</f>
        <v>0.60092390705219934</v>
      </c>
      <c r="D221" s="10">
        <f>B221*($H$4-$I$4*C221)</f>
        <v>11.912619028866768</v>
      </c>
      <c r="E221" s="10">
        <f>C221*(-$J$4+$K$4*B221)</f>
        <v>-0.14813682073092777</v>
      </c>
      <c r="F221" s="15">
        <f>F220+$L$4</f>
        <v>21.700000000000038</v>
      </c>
    </row>
    <row r="222" spans="2:6" x14ac:dyDescent="0.25">
      <c r="B222" s="14">
        <f>B221+D221*$L$4</f>
        <v>13.865506595729304</v>
      </c>
      <c r="C222" s="10">
        <f>C221+E221*$L$4</f>
        <v>0.58611022497910659</v>
      </c>
      <c r="D222" s="10">
        <f>B222*($H$4-$I$4*C222)</f>
        <v>13.052835076702086</v>
      </c>
      <c r="E222" s="10">
        <f>C222*(-$J$4+$K$4*B222)</f>
        <v>-0.13052080868410951</v>
      </c>
      <c r="F222" s="15">
        <f>F221+$L$4</f>
        <v>21.80000000000004</v>
      </c>
    </row>
    <row r="223" spans="2:6" x14ac:dyDescent="0.25">
      <c r="B223" s="14">
        <f>B222+D222*$L$4</f>
        <v>15.170790103399513</v>
      </c>
      <c r="C223" s="10">
        <f>C222+E222*$L$4</f>
        <v>0.57305814411069567</v>
      </c>
      <c r="D223" s="10">
        <f>B223*($H$4-$I$4*C223)</f>
        <v>14.301415621264811</v>
      </c>
      <c r="E223" s="10">
        <f>C223*(-$J$4+$K$4*B223)</f>
        <v>-0.11265417562840714</v>
      </c>
      <c r="F223" s="15">
        <f>F222+$L$4</f>
        <v>21.900000000000041</v>
      </c>
    </row>
    <row r="224" spans="2:6" x14ac:dyDescent="0.25">
      <c r="B224" s="14">
        <f>B223+D223*$L$4</f>
        <v>16.600931665525994</v>
      </c>
      <c r="C224" s="10">
        <f>C223+E223*$L$4</f>
        <v>0.56179272654785495</v>
      </c>
      <c r="D224" s="10">
        <f>B224*($H$4-$I$4*C224)</f>
        <v>15.668303399164946</v>
      </c>
      <c r="E224" s="10">
        <f>C224*(-$J$4+$K$4*B224)</f>
        <v>-9.4370710001718053E-2</v>
      </c>
      <c r="F224" s="15">
        <f>F223+$L$4</f>
        <v>22.000000000000043</v>
      </c>
    </row>
    <row r="225" spans="2:6" x14ac:dyDescent="0.25">
      <c r="B225" s="14">
        <f>B224+D224*$L$4</f>
        <v>18.167762005442491</v>
      </c>
      <c r="C225" s="10">
        <f>C224+E224*$L$4</f>
        <v>0.55235565554768318</v>
      </c>
      <c r="D225" s="10">
        <f>B225*($H$4-$I$4*C225)</f>
        <v>17.164255396207444</v>
      </c>
      <c r="E225" s="10">
        <f>C225*(-$J$4+$K$4*B225)</f>
        <v>-7.5476505926832013E-2</v>
      </c>
      <c r="F225" s="15">
        <f>F224+$L$4</f>
        <v>22.100000000000044</v>
      </c>
    </row>
    <row r="226" spans="2:6" x14ac:dyDescent="0.25">
      <c r="B226" s="14">
        <f>B225+D225*$L$4</f>
        <v>19.884187545063234</v>
      </c>
      <c r="C226" s="10">
        <f>C225+E225*$L$4</f>
        <v>0.54480800495499992</v>
      </c>
      <c r="D226" s="10">
        <f>B226*($H$4-$I$4*C226)</f>
        <v>18.800881090405539</v>
      </c>
      <c r="E226" s="10">
        <f>C226*(-$J$4+$K$4*B226)</f>
        <v>-5.5742711545960798E-2</v>
      </c>
      <c r="F226" s="15">
        <f>F225+$L$4</f>
        <v>22.200000000000045</v>
      </c>
    </row>
    <row r="227" spans="2:6" x14ac:dyDescent="0.25">
      <c r="B227" s="14">
        <f>B226+D226*$L$4</f>
        <v>21.764275654103788</v>
      </c>
      <c r="C227" s="10">
        <f>C226+E226*$L$4</f>
        <v>0.53923373380040385</v>
      </c>
      <c r="D227" s="10">
        <f>B227*($H$4-$I$4*C227)</f>
        <v>20.590672491661426</v>
      </c>
      <c r="E227" s="10">
        <f>C227*(-$J$4+$K$4*B227)</f>
        <v>-3.4896234411729683E-2</v>
      </c>
      <c r="F227" s="15">
        <f>F226+$L$4</f>
        <v>22.300000000000047</v>
      </c>
    </row>
    <row r="228" spans="2:6" x14ac:dyDescent="0.25">
      <c r="B228" s="14">
        <f>B227+D227*$L$4</f>
        <v>23.823342903269932</v>
      </c>
      <c r="C228" s="10">
        <f>C227+E227*$L$4</f>
        <v>0.53574411035923086</v>
      </c>
      <c r="D228" s="10">
        <f>B228*($H$4-$I$4*C228)</f>
        <v>22.547021338320409</v>
      </c>
      <c r="E228" s="10">
        <f>C228*(-$J$4+$K$4*B228)</f>
        <v>-1.2607742189710523E-2</v>
      </c>
      <c r="F228" s="15">
        <f>F227+$L$4</f>
        <v>22.400000000000048</v>
      </c>
    </row>
    <row r="229" spans="2:6" x14ac:dyDescent="0.25">
      <c r="B229" s="14">
        <f>B228+D228*$L$4</f>
        <v>26.078045037101973</v>
      </c>
      <c r="C229" s="10">
        <f>C228+E228*$L$4</f>
        <v>0.53448333614025978</v>
      </c>
      <c r="D229" s="10">
        <f>B229*($H$4-$I$4*C229)</f>
        <v>24.684216985957352</v>
      </c>
      <c r="E229" s="10">
        <f>C229*(-$J$4+$K$4*B229)</f>
        <v>1.1523942158794234E-2</v>
      </c>
      <c r="F229" s="15">
        <f>F228+$L$4</f>
        <v>22.50000000000005</v>
      </c>
    </row>
    <row r="230" spans="2:6" x14ac:dyDescent="0.25">
      <c r="B230" s="14">
        <f>B229+D229*$L$4</f>
        <v>28.546466735697706</v>
      </c>
      <c r="C230" s="10">
        <f>C229+E229*$L$4</f>
        <v>0.53563573035613921</v>
      </c>
      <c r="D230" s="10">
        <f>B230*($H$4-$I$4*C230)</f>
        <v>27.017415979791441</v>
      </c>
      <c r="E230" s="10">
        <f>C230*(-$J$4+$K$4*B230)</f>
        <v>3.7992286003183877E-2</v>
      </c>
      <c r="F230" s="15">
        <f>F229+$L$4</f>
        <v>22.600000000000051</v>
      </c>
    </row>
    <row r="231" spans="2:6" x14ac:dyDescent="0.25">
      <c r="B231" s="14">
        <f>B230+D230*$L$4</f>
        <v>31.24820833367685</v>
      </c>
      <c r="C231" s="10">
        <f>C230+E230*$L$4</f>
        <v>0.53943495895645754</v>
      </c>
      <c r="D231" s="10">
        <f>B231*($H$4-$I$4*C231)</f>
        <v>29.562570735682868</v>
      </c>
      <c r="E231" s="10">
        <f>C231*(-$J$4+$K$4*B231)</f>
        <v>6.741004012056738E-2</v>
      </c>
      <c r="F231" s="15">
        <f>F230+$L$4</f>
        <v>22.700000000000053</v>
      </c>
    </row>
    <row r="232" spans="2:6" x14ac:dyDescent="0.25">
      <c r="B232" s="14">
        <f>B231+D231*$L$4</f>
        <v>34.204465407245138</v>
      </c>
      <c r="C232" s="10">
        <f>C231+E231*$L$4</f>
        <v>0.54617596296851423</v>
      </c>
      <c r="D232" s="10">
        <f>B232*($H$4-$I$4*C232)</f>
        <v>32.336299724082608</v>
      </c>
      <c r="E232" s="10">
        <f>C232*(-$J$4+$K$4*B232)</f>
        <v>0.10054515514824981</v>
      </c>
      <c r="F232" s="15">
        <f>F231+$L$4</f>
        <v>22.800000000000054</v>
      </c>
    </row>
    <row r="233" spans="2:6" x14ac:dyDescent="0.25">
      <c r="B233" s="14">
        <f>B232+D232*$L$4</f>
        <v>37.438095379653397</v>
      </c>
      <c r="C233" s="10">
        <f>C232+E232*$L$4</f>
        <v>0.55623047848333917</v>
      </c>
      <c r="D233" s="10">
        <f>B233*($H$4-$I$4*C233)</f>
        <v>35.35567440900045</v>
      </c>
      <c r="E233" s="10">
        <f>C233*(-$J$4+$K$4*B233)</f>
        <v>0.13836895488892037</v>
      </c>
      <c r="F233" s="15">
        <f>F232+$L$4</f>
        <v>22.900000000000055</v>
      </c>
    </row>
    <row r="234" spans="2:6" x14ac:dyDescent="0.25">
      <c r="B234" s="14">
        <f>B233+D233*$L$4</f>
        <v>40.973662820553443</v>
      </c>
      <c r="C234" s="10">
        <f>C233+E233*$L$4</f>
        <v>0.57006737397223117</v>
      </c>
      <c r="D234" s="10">
        <f>B234*($H$4-$I$4*C234)</f>
        <v>38.637887983939784</v>
      </c>
      <c r="E234" s="10">
        <f>C234*(-$J$4+$K$4*B234)</f>
        <v>0.18212128033661529</v>
      </c>
      <c r="F234" s="15">
        <f>F233+$L$4</f>
        <v>23.000000000000057</v>
      </c>
    </row>
    <row r="235" spans="2:6" x14ac:dyDescent="0.25">
      <c r="B235" s="14">
        <f>B234+D234*$L$4</f>
        <v>44.837451618947419</v>
      </c>
      <c r="C235" s="10">
        <f>C234+E234*$L$4</f>
        <v>0.58827950200589274</v>
      </c>
      <c r="D235" s="10">
        <f>B235*($H$4-$I$4*C235)</f>
        <v>42.199756247986649</v>
      </c>
      <c r="E235" s="10">
        <f>C235*(-$J$4+$K$4*B235)</f>
        <v>0.23339932318920759</v>
      </c>
      <c r="F235" s="15">
        <f>F234+$L$4</f>
        <v>23.100000000000058</v>
      </c>
    </row>
    <row r="236" spans="2:6" x14ac:dyDescent="0.25">
      <c r="B236" s="14">
        <f>B235+D235*$L$4</f>
        <v>49.057427243746083</v>
      </c>
      <c r="C236" s="10">
        <f>C235+E235*$L$4</f>
        <v>0.61161943432481347</v>
      </c>
      <c r="D236" s="10">
        <f>B236*($H$4-$I$4*C236)</f>
        <v>46.056979653721015</v>
      </c>
      <c r="E236" s="10">
        <f>C236*(-$J$4+$K$4*B236)</f>
        <v>0.29427980084260669</v>
      </c>
      <c r="F236" s="15">
        <f>F235+$L$4</f>
        <v>23.20000000000006</v>
      </c>
    </row>
    <row r="237" spans="2:6" x14ac:dyDescent="0.25">
      <c r="B237" s="14">
        <f>B236+D236*$L$4</f>
        <v>53.663125209118185</v>
      </c>
      <c r="C237" s="10">
        <f>C236+E236*$L$4</f>
        <v>0.64104741440907409</v>
      </c>
      <c r="D237" s="10">
        <f>B237*($H$4-$I$4*C237)</f>
        <v>50.223064442676623</v>
      </c>
      <c r="E237" s="10">
        <f>C237*(-$J$4+$K$4*B237)</f>
        <v>0.36748844608377534</v>
      </c>
      <c r="F237" s="15">
        <f>F236+$L$4</f>
        <v>23.300000000000061</v>
      </c>
    </row>
    <row r="238" spans="2:6" x14ac:dyDescent="0.25">
      <c r="B238" s="14">
        <f>B237+D237*$L$4</f>
        <v>58.685431653385848</v>
      </c>
      <c r="C238" s="10">
        <f>C237+E237*$L$4</f>
        <v>0.67779625901745166</v>
      </c>
      <c r="D238" s="10">
        <f>B238*($H$4-$I$4*C238)</f>
        <v>54.707755050036923</v>
      </c>
      <c r="E238" s="10">
        <f>C238*(-$J$4+$K$4*B238)</f>
        <v>0.45663719116105955</v>
      </c>
      <c r="F238" s="15">
        <f>F237+$L$4</f>
        <v>23.400000000000063</v>
      </c>
    </row>
    <row r="239" spans="2:6" x14ac:dyDescent="0.25">
      <c r="B239" s="14">
        <f>B238+D238*$L$4</f>
        <v>64.156207158389535</v>
      </c>
      <c r="C239" s="10">
        <f>C238+E238*$L$4</f>
        <v>0.72345997813355767</v>
      </c>
      <c r="D239" s="10">
        <f>B239*($H$4-$I$4*C239)</f>
        <v>59.514762335595485</v>
      </c>
      <c r="E239" s="10">
        <f>C239*(-$J$4+$K$4*B239)</f>
        <v>0.56655897549203094</v>
      </c>
      <c r="F239" s="15">
        <f>F238+$L$4</f>
        <v>23.500000000000064</v>
      </c>
    </row>
    <row r="240" spans="2:6" x14ac:dyDescent="0.25">
      <c r="B240" s="14">
        <f>B239+D239*$L$4</f>
        <v>70.107683391949081</v>
      </c>
      <c r="C240" s="10">
        <f>C239+E239*$L$4</f>
        <v>0.78011587568276075</v>
      </c>
      <c r="D240" s="10">
        <f>B240*($H$4-$I$4*C240)</f>
        <v>64.638471709809068</v>
      </c>
      <c r="E240" s="10">
        <f>C240*(-$J$4+$K$4*B240)</f>
        <v>0.70378439858662167</v>
      </c>
      <c r="F240" s="15">
        <f>F239+$L$4</f>
        <v>23.600000000000065</v>
      </c>
    </row>
    <row r="241" spans="2:6" x14ac:dyDescent="0.25">
      <c r="B241" s="14">
        <f>B240+D240*$L$4</f>
        <v>76.571530562929993</v>
      </c>
      <c r="C241" s="10">
        <f>C240+E240*$L$4</f>
        <v>0.85049431554142296</v>
      </c>
      <c r="D241" s="10">
        <f>B241*($H$4-$I$4*C241)</f>
        <v>70.059165415322155</v>
      </c>
      <c r="E241" s="10">
        <f>C241*(-$J$4+$K$4*B241)</f>
        <v>0.87722587175085431</v>
      </c>
      <c r="F241" s="15">
        <f>F240+$L$4</f>
        <v>23.700000000000067</v>
      </c>
    </row>
    <row r="242" spans="2:6" x14ac:dyDescent="0.25">
      <c r="B242" s="14">
        <f>B241+D241*$L$4</f>
        <v>83.577447104462209</v>
      </c>
      <c r="C242" s="10">
        <f>C241+E241*$L$4</f>
        <v>0.93821690271650837</v>
      </c>
      <c r="D242" s="10">
        <f>B242*($H$4-$I$4*C242)</f>
        <v>75.736069748532074</v>
      </c>
      <c r="E242" s="10">
        <f>C242*(-$J$4+$K$4*B242)</f>
        <v>1.0991670198277728</v>
      </c>
      <c r="F242" s="15">
        <f>F241+$L$4</f>
        <v>23.800000000000068</v>
      </c>
    </row>
    <row r="243" spans="2:6" x14ac:dyDescent="0.25">
      <c r="B243" s="14">
        <f>B242+D242*$L$4</f>
        <v>91.151054079315415</v>
      </c>
      <c r="C243" s="10">
        <f>C242+E242*$L$4</f>
        <v>1.0481336046992857</v>
      </c>
      <c r="D243" s="10">
        <f>B243*($H$4-$I$4*C243)</f>
        <v>81.597205790886164</v>
      </c>
      <c r="E243" s="10">
        <f>C243*(-$J$4+$K$4*B243)</f>
        <v>1.3867028553362053</v>
      </c>
      <c r="F243" s="15">
        <f>F242+$L$4</f>
        <v>23.90000000000007</v>
      </c>
    </row>
    <row r="244" spans="2:6" x14ac:dyDescent="0.25">
      <c r="B244" s="14">
        <f>B243+D243*$L$4</f>
        <v>99.310774658404029</v>
      </c>
      <c r="C244" s="10">
        <f>C243+E243*$L$4</f>
        <v>1.1868038902329063</v>
      </c>
      <c r="D244" s="10">
        <f>B244*($H$4-$I$4*C244)</f>
        <v>87.524533287740283</v>
      </c>
      <c r="E244" s="10">
        <f>C244*(-$J$4+$K$4*B244)</f>
        <v>1.7638463290162956</v>
      </c>
      <c r="F244" s="15">
        <f>F243+$L$4</f>
        <v>24.000000000000071</v>
      </c>
    </row>
    <row r="245" spans="2:6" x14ac:dyDescent="0.25">
      <c r="B245" s="14">
        <f>B244+D244*$L$4</f>
        <v>108.06322798717805</v>
      </c>
      <c r="C245" s="10">
        <f>C244+E244*$L$4</f>
        <v>1.363188523134536</v>
      </c>
      <c r="D245" s="10">
        <f>B245*($H$4-$I$4*C245)</f>
        <v>93.332172770678852</v>
      </c>
      <c r="E245" s="10">
        <f>C245*(-$J$4+$K$4*B245)</f>
        <v>2.26461678173257</v>
      </c>
      <c r="F245" s="15">
        <f>F244+$L$4</f>
        <v>24.100000000000072</v>
      </c>
    </row>
    <row r="246" spans="2:6" x14ac:dyDescent="0.25">
      <c r="B246" s="14">
        <f>B245+D245*$L$4</f>
        <v>117.39644526424594</v>
      </c>
      <c r="C246" s="10">
        <f>C245+E245*$L$4</f>
        <v>1.5896502013077929</v>
      </c>
      <c r="D246" s="10">
        <f>B246*($H$4-$I$4*C246)</f>
        <v>98.734516979533154</v>
      </c>
      <c r="E246" s="10">
        <f>C246*(-$J$4+$K$4*B246)</f>
        <v>2.9375605562886609</v>
      </c>
      <c r="F246" s="15">
        <f>F245+$L$4</f>
        <v>24.200000000000074</v>
      </c>
    </row>
    <row r="247" spans="2:6" x14ac:dyDescent="0.25">
      <c r="B247" s="14">
        <f>B246+D246*$L$4</f>
        <v>127.26989696219925</v>
      </c>
      <c r="C247" s="10">
        <f>C246+E246*$L$4</f>
        <v>1.883406256936659</v>
      </c>
      <c r="D247" s="10">
        <f>B247*($H$4-$I$4*C247)</f>
        <v>103.29980493637025</v>
      </c>
      <c r="E247" s="10">
        <f>C247*(-$J$4+$K$4*B247)</f>
        <v>3.8523152766974698</v>
      </c>
      <c r="F247" s="15">
        <f>F246+$L$4</f>
        <v>24.300000000000075</v>
      </c>
    </row>
    <row r="248" spans="2:6" x14ac:dyDescent="0.25">
      <c r="B248" s="14">
        <f>B247+D247*$L$4</f>
        <v>137.59987745583629</v>
      </c>
      <c r="C248" s="10">
        <f>C247+E247*$L$4</f>
        <v>2.2686377846064061</v>
      </c>
      <c r="D248" s="10">
        <f>B248*($H$4-$I$4*C248)</f>
        <v>106.38344934048415</v>
      </c>
      <c r="E248" s="10">
        <f>C248*(-$J$4+$K$4*B248)</f>
        <v>5.108966730767226</v>
      </c>
      <c r="F248" s="15">
        <f>F247+$L$4</f>
        <v>24.400000000000077</v>
      </c>
    </row>
    <row r="249" spans="2:6" x14ac:dyDescent="0.25">
      <c r="B249" s="14">
        <f>B248+D248*$L$4</f>
        <v>148.2382223898847</v>
      </c>
      <c r="C249" s="10">
        <f>C248+E248*$L$4</f>
        <v>2.7795344576831287</v>
      </c>
      <c r="D249" s="10">
        <f>B249*($H$4-$I$4*C249)</f>
        <v>107.03489768204679</v>
      </c>
      <c r="E249" s="10">
        <f>C249*(-$J$4+$K$4*B249)</f>
        <v>6.8508977127260202</v>
      </c>
      <c r="F249" s="15">
        <f>F248+$L$4</f>
        <v>24.500000000000078</v>
      </c>
    </row>
    <row r="250" spans="2:6" x14ac:dyDescent="0.25">
      <c r="B250" s="14">
        <f>B249+D249*$L$4</f>
        <v>158.94171215808939</v>
      </c>
      <c r="C250" s="10">
        <f>C249+E249*$L$4</f>
        <v>3.4646242289557305</v>
      </c>
      <c r="D250" s="10">
        <f>B250*($H$4-$I$4*C250)</f>
        <v>103.87438146462698</v>
      </c>
      <c r="E250" s="10">
        <f>C250*(-$J$4+$K$4*B250)</f>
        <v>9.2811540242146169</v>
      </c>
      <c r="F250" s="15">
        <f>F249+$L$4</f>
        <v>24.60000000000008</v>
      </c>
    </row>
    <row r="251" spans="2:6" x14ac:dyDescent="0.25">
      <c r="B251" s="14">
        <f>B250+D250*$L$4</f>
        <v>169.32915030455209</v>
      </c>
      <c r="C251" s="10">
        <f>C250+E250*$L$4</f>
        <v>4.392739631377192</v>
      </c>
      <c r="D251" s="10">
        <f>B251*($H$4-$I$4*C251)</f>
        <v>94.947263375528962</v>
      </c>
      <c r="E251" s="10">
        <f>C251*(-$J$4+$K$4*B251)</f>
        <v>12.680007570116031</v>
      </c>
      <c r="F251" s="15">
        <f>F250+$L$4</f>
        <v>24.700000000000081</v>
      </c>
    </row>
    <row r="252" spans="2:6" x14ac:dyDescent="0.25">
      <c r="B252" s="14">
        <f>B251+D251*$L$4</f>
        <v>178.82387664210498</v>
      </c>
      <c r="C252" s="10">
        <f>C251+E251*$L$4</f>
        <v>5.6607403883887955</v>
      </c>
      <c r="D252" s="10">
        <f>B252*($H$4-$I$4*C252)</f>
        <v>77.596322550483038</v>
      </c>
      <c r="E252" s="10">
        <f>C252*(-$J$4+$K$4*B252)</f>
        <v>17.41514062412999</v>
      </c>
      <c r="F252" s="15">
        <f>F251+$L$4</f>
        <v>24.800000000000082</v>
      </c>
    </row>
    <row r="253" spans="2:6" x14ac:dyDescent="0.25">
      <c r="B253" s="14">
        <f>B252+D252*$L$4</f>
        <v>186.58350889715328</v>
      </c>
      <c r="C253" s="10">
        <f>C252+E252*$L$4</f>
        <v>7.4022544508017942</v>
      </c>
      <c r="D253" s="10">
        <f>B253*($H$4-$I$4*C253)</f>
        <v>48.469647979136361</v>
      </c>
      <c r="E253" s="10">
        <f>C253*(-$J$4+$K$4*B253)</f>
        <v>23.921644958202485</v>
      </c>
      <c r="F253" s="15">
        <f>F252+$L$4</f>
        <v>24.900000000000084</v>
      </c>
    </row>
    <row r="254" spans="2:6" ht="14.4" thickBot="1" x14ac:dyDescent="0.3">
      <c r="B254" s="7">
        <f>B253+D253*$L$4</f>
        <v>191.43047369506692</v>
      </c>
      <c r="C254" s="8">
        <f>C253+E253*$L$4</f>
        <v>9.7944189466220433</v>
      </c>
      <c r="D254" s="8">
        <f>B254*($H$4-$I$4*C254)</f>
        <v>3.9354478430873097</v>
      </c>
      <c r="E254" s="8">
        <f>C254*(-$J$4+$K$4*B254)</f>
        <v>32.601795697084903</v>
      </c>
      <c r="F254" s="9">
        <f>F253+$L$4</f>
        <v>25.000000000000085</v>
      </c>
    </row>
  </sheetData>
  <mergeCells count="8">
    <mergeCell ref="K7:L8"/>
    <mergeCell ref="H7:I8"/>
    <mergeCell ref="B1:F2"/>
    <mergeCell ref="H1:L2"/>
    <mergeCell ref="H5:H6"/>
    <mergeCell ref="I5:I6"/>
    <mergeCell ref="J5:J6"/>
    <mergeCell ref="K5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Hills</dc:creator>
  <cp:lastModifiedBy>Mohammad Saad Ansari</cp:lastModifiedBy>
  <dcterms:created xsi:type="dcterms:W3CDTF">2017-07-18T00:24:49Z</dcterms:created>
  <dcterms:modified xsi:type="dcterms:W3CDTF">2025-12-10T09:21:14Z</dcterms:modified>
</cp:coreProperties>
</file>